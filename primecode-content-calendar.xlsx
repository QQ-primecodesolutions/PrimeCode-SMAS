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 Calendar" sheetId="1" state="visible" r:id="rId3"/>
    <sheet name="Ideas Backlog" sheetId="2" state="visible" r:id="rId4"/>
    <sheet name="Analytics" sheetId="3" state="visible" r:id="rId5"/>
    <sheet name="Brand Knowledge" sheetId="4" state="visible" r:id="rId6"/>
    <sheet name="Reference"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M5" authorId="0">
      <text>
        <r>
          <rPr>
            <sz val="10"/>
            <rFont val="Arial"/>
            <family val="2"/>
          </rPr>
          <t xml:space="preserve">Captions for PC-2026-001 to 004 are written in full as the tone reference. Draft the remaining 20 against them, then move Status to HUMAN_REVIEW.</t>
        </r>
      </text>
    </comment>
  </commentList>
</comments>
</file>

<file path=xl/sharedStrings.xml><?xml version="1.0" encoding="utf-8"?>
<sst xmlns="http://schemas.openxmlformats.org/spreadsheetml/2006/main" count="626" uniqueCount="361">
  <si>
    <t xml:space="preserve">PrimeCode Social Engine - 90-Day Content Calendar</t>
  </si>
  <si>
    <t xml:space="preserve">Stage 3 deliverable. Blue text = cells you fill in. Caption is written for the first four posts as a reference for tone; draft the rest against those. Nothing publishes until Status = APPROVED.</t>
  </si>
  <si>
    <t xml:space="preserve">Schedule: Tuesday = value (education / business problem). Friday = PrimeCode (project / behind-the-scenes / service / story). Dates start Tuesday 25 August 2026 and run 12 weeks.</t>
  </si>
  <si>
    <t xml:space="preserve">Content ID</t>
  </si>
  <si>
    <t xml:space="preserve">Week</t>
  </si>
  <si>
    <t xml:space="preserve">Publish Date</t>
  </si>
  <si>
    <t xml:space="preserve">Day</t>
  </si>
  <si>
    <t xml:space="preserve">Series</t>
  </si>
  <si>
    <t xml:space="preserve">Pillar</t>
  </si>
  <si>
    <t xml:space="preserve">Topic</t>
  </si>
  <si>
    <t xml:space="preserve">Audience</t>
  </si>
  <si>
    <t xml:space="preserve">Objective</t>
  </si>
  <si>
    <t xml:space="preserve">Format</t>
  </si>
  <si>
    <t xml:space="preserve">Platform</t>
  </si>
  <si>
    <t xml:space="preserve">Hook</t>
  </si>
  <si>
    <t xml:space="preserve">Caption</t>
  </si>
  <si>
    <t xml:space="preserve">CTA</t>
  </si>
  <si>
    <t xml:space="preserve">Visual Template</t>
  </si>
  <si>
    <t xml:space="preserve">Visual Brief</t>
  </si>
  <si>
    <t xml:space="preserve">Hashtags</t>
  </si>
  <si>
    <t xml:space="preserve">Status</t>
  </si>
  <si>
    <t xml:space="preserve">Published URL</t>
  </si>
  <si>
    <t xml:space="preserve">Notes</t>
  </si>
  <si>
    <t xml:space="preserve">PC-2026-001</t>
  </si>
  <si>
    <t xml:space="preserve">Tue</t>
  </si>
  <si>
    <t xml:space="preserve">PrimeCode Journey</t>
  </si>
  <si>
    <t xml:space="preserve">Founder / Brand</t>
  </si>
  <si>
    <t xml:space="preserve">PrimeCode is building again</t>
  </si>
  <si>
    <t xml:space="preserve">Everyone / local community</t>
  </si>
  <si>
    <t xml:space="preserve">Reintroduce the brand</t>
  </si>
  <si>
    <t xml:space="preserve">Carousel</t>
  </si>
  <si>
    <t xml:space="preserve">IG + FB</t>
  </si>
  <si>
    <t xml:space="preserve">This page has been quiet. That was deliberate — we were building.</t>
  </si>
  <si>
    <t xml:space="preserve">This page has been quiet for a long time. That was not neglect - it was building.
PrimeCode Solutions is a software development company based in Phuthaditjhaba. We build websites, web applications and custom software for businesses, schools and organisations - most of them right here in Qwaqwa and the wider Free State.
Over the last while we have been doing the work rather than talking about it. Now we would like to do both.
From here you will hear from us twice a week:
Tuesdays - something useful about technology and business
Fridays - what we are building and how we build it
No jargon. No pretending to be bigger than we are. Just the work.
Follow along.</t>
  </si>
  <si>
    <t xml:space="preserve">Follow along. We're posting every Tuesday and Friday.</t>
  </si>
  <si>
    <t xml:space="preserve">JOURNEY-01</t>
  </si>
  <si>
    <t xml:space="preserve">Slide 1: bold text on dark background. Slides 2-4: short statements. Final slide: PrimeCode logo + tagline 'Technology that solves real problems.'</t>
  </si>
  <si>
    <t xml:space="preserve">#PrimeCodeSolutions #Qwaqwa #Phuthaditjhaba #SoftwareDevelopment</t>
  </si>
  <si>
    <t xml:space="preserve">DRAFT</t>
  </si>
  <si>
    <t xml:space="preserve">PC-2026-002</t>
  </si>
  <si>
    <t xml:space="preserve">Fri</t>
  </si>
  <si>
    <t xml:space="preserve">PrimeCode Services</t>
  </si>
  <si>
    <t xml:space="preserve">Services</t>
  </si>
  <si>
    <t xml:space="preserve">What PrimeCode Solutions actually does</t>
  </si>
  <si>
    <t xml:space="preserve">Local SMEs / organisations</t>
  </si>
  <si>
    <t xml:space="preserve">Explain the offering clearly</t>
  </si>
  <si>
    <t xml:space="preserve">"So what do you actually build?" Fair question. Here's the honest answer.</t>
  </si>
  <si>
    <t xml:space="preserve">"So what do you actually build?"
Fair question. Here is the honest answer.
WEBSITES
Professional, fast sites that work properly on a phone - because that is where your customers are.
WEB APPLICATIONS
Systems that do something, not just say something. Bookings, registrations, dashboards, portals.
CUSTOM SOFTWARE
Built around how your business actually works, instead of forcing your business to fit someone else's software.
SEO
Helping people find you when they search for what you do.
And if you are not sure which of those you need - that is a normal place to start. Ask us. We will tell you honestly if you do not need us yet.
Send us a message.</t>
  </si>
  <si>
    <t xml:space="preserve">Have a problem you think software could solve? Send us a message.</t>
  </si>
  <si>
    <t xml:space="preserve">BRAND-01</t>
  </si>
  <si>
    <t xml:space="preserve">5 slides, one service per slide: Websites / Web applications / Custom software / SEO / 'Not sure which one you need? Ask us.' Icon + short line each.</t>
  </si>
  <si>
    <t xml:space="preserve">#PrimeCodeSolutions #WebDevelopment #CustomSoftware #SmallBusiness</t>
  </si>
  <si>
    <t xml:space="preserve">PC-2026-003</t>
  </si>
  <si>
    <t xml:space="preserve">Tech for Business</t>
  </si>
  <si>
    <t xml:space="preserve">Business Problems</t>
  </si>
  <si>
    <t xml:space="preserve">Does your business actually need a website?</t>
  </si>
  <si>
    <t xml:space="preserve">Local SMEs</t>
  </si>
  <si>
    <t xml:space="preserve">Create demand honestly</t>
  </si>
  <si>
    <t xml:space="preserve">Not every business needs a website. Here's how to tell if yours does.</t>
  </si>
  <si>
    <t xml:space="preserve">Not every business needs a website. Some do fine on word of mouth and a busy WhatsApp.
But here is how to tell if yours is losing something without one.
1. Customers ask you the same questions every day - your hours, your prices, where you are
2. People cannot find you when they search online
3. Your competitors look more established than you, even when your work is better
4. You are sending photos of your price list on WhatsApp
5. Someone asked for your website and you had to say you do not have one
If you ticked three or more, a website is probably costing you customers by not existing.
It does not need to be complicated or expensive. It needs to answer the questions your customers are already asking you.
Is your business in this position? Tell us in the comments.</t>
  </si>
  <si>
    <t xml:space="preserve">Is your business in this position? Tell us in the comments.</t>
  </si>
  <si>
    <t xml:space="preserve">BIZ-01</t>
  </si>
  <si>
    <t xml:space="preserve">Checklist-style carousel. Slide 1: the question. Slides 2-6: one 'sign' per slide with a tick icon. Last slide: 'If you ticked 3 or more, let's talk.'</t>
  </si>
  <si>
    <t xml:space="preserve">#SmallBusiness #BusinessTechnology #Qwaqwa #PrimeCodeSolutions</t>
  </si>
  <si>
    <t xml:space="preserve">PC-2026-004</t>
  </si>
  <si>
    <t xml:space="preserve">Build With PrimeCode</t>
  </si>
  <si>
    <t xml:space="preserve">Projects</t>
  </si>
  <si>
    <t xml:space="preserve">Behind the Build: Thiboloha Special School</t>
  </si>
  <si>
    <t xml:space="preserve">Schools / organisations / SMEs</t>
  </si>
  <si>
    <t xml:space="preserve">Prove capability with real work</t>
  </si>
  <si>
    <t xml:space="preserve">A school with a lot to say and nowhere to say it. Here's what we built.</t>
  </si>
  <si>
    <t xml:space="preserve">A school has a lot to communicate. Programmes, admissions, achievements, news, contact details - and parents asking about all of it.
Thiboloha Special School needed one place where all of that lives, and where a parent can find an answer without phoning the office.
WHAT WE BUILT
A structured, responsive website covering programmes, admissions, news, achievements and contact information - organised so a parent can find what they need in a few taps, on a phone, on data.
WHY THE STRUCTURE MATTERED
The hard part was not the design. It was deciding what goes where, so that a large amount of information does not become a maze.
PrimeCode Solutions is credited as the developer and maintainer of the site.
Does your organisation have a lot to say and nowhere good to say it? Let's talk.</t>
  </si>
  <si>
    <t xml:space="preserve">Does your organisation need a proper website? Let's talk.</t>
  </si>
  <si>
    <t xml:space="preserve">PROJECT-01</t>
  </si>
  <si>
    <t xml:space="preserve">Laptop + phone mockups of the live site. Slide structure: the problem / what we built / what it does now. Get permission before naming the client.</t>
  </si>
  <si>
    <t xml:space="preserve">#PrimeCodeSolutions #WebDevelopment #FreeState #Qwaqwa</t>
  </si>
  <si>
    <t xml:space="preserve">PC-2026-005</t>
  </si>
  <si>
    <t xml:space="preserve">PrimeCode Insight</t>
  </si>
  <si>
    <t xml:space="preserve">Authority</t>
  </si>
  <si>
    <t xml:space="preserve">Your business probably doesn't need an app</t>
  </si>
  <si>
    <t xml:space="preserve">SMEs / entrepreneurs</t>
  </si>
  <si>
    <t xml:space="preserve">Establish a point of view</t>
  </si>
  <si>
    <t xml:space="preserve">Single image</t>
  </si>
  <si>
    <t xml:space="preserve">Your business probably doesn't need an app. It might need three other things first.</t>
  </si>
  <si>
    <t xml:space="preserve">Disagree? Tell us why in the comments.</t>
  </si>
  <si>
    <t xml:space="preserve">INSIGHT-01</t>
  </si>
  <si>
    <t xml:space="preserve">Bold statement typography on dark background. No illustration. The sentence is the design.</t>
  </si>
  <si>
    <t xml:space="preserve">#BusinessTechnology #SmallBusiness #PrimeCodeSolutions</t>
  </si>
  <si>
    <t xml:space="preserve">IDEA</t>
  </si>
  <si>
    <t xml:space="preserve">PC-2026-006</t>
  </si>
  <si>
    <t xml:space="preserve">From idea to working system: how a PrimeCode project starts</t>
  </si>
  <si>
    <t xml:space="preserve">Entrepreneurs / SMEs</t>
  </si>
  <si>
    <t xml:space="preserve">Reduce friction to enquiring</t>
  </si>
  <si>
    <t xml:space="preserve">People think building software starts with code. It starts with a conversation.</t>
  </si>
  <si>
    <t xml:space="preserve">Have an idea sitting in your notes app? Send it to us.</t>
  </si>
  <si>
    <t xml:space="preserve">Numbered process carousel: Conversation / Understanding the problem / Design / Build / Handover. Keep to 5 steps.</t>
  </si>
  <si>
    <t xml:space="preserve">#CustomSoftware #PrimeCodeSolutions #Entrepreneurs #SouthAfrica</t>
  </si>
  <si>
    <t xml:space="preserve">PC-2026-007</t>
  </si>
  <si>
    <t xml:space="preserve">PrimeCode Explains</t>
  </si>
  <si>
    <t xml:space="preserve">Education</t>
  </si>
  <si>
    <t xml:space="preserve">What is an API? (explained without the jargon)</t>
  </si>
  <si>
    <t xml:space="preserve">Business owners</t>
  </si>
  <si>
    <t xml:space="preserve">Build technical credibility</t>
  </si>
  <si>
    <t xml:space="preserve">Your booking system talks to your payment system. An API is how.</t>
  </si>
  <si>
    <t xml:space="preserve">Save this for the next time a developer says 'API'.</t>
  </si>
  <si>
    <t xml:space="preserve">TECH-01</t>
  </si>
  <si>
    <t xml:space="preserve">Simple diagram: two boxes (your website / the payment provider) with an arrow labelled API. Use a restaurant-order analogy on slide 3.</t>
  </si>
  <si>
    <t xml:space="preserve">#PrimeCodeSolutions #SoftwareDevelopment #Technology</t>
  </si>
  <si>
    <t xml:space="preserve">PC-2026-008</t>
  </si>
  <si>
    <t xml:space="preserve">Why I started PrimeCode Solutions</t>
  </si>
  <si>
    <t xml:space="preserve">Humanise the brand</t>
  </si>
  <si>
    <t xml:space="preserve">I kept seeing good businesses here losing customers for one avoidable reason.</t>
  </si>
  <si>
    <t xml:space="preserve">What's the one thing you'd fix about your business online?</t>
  </si>
  <si>
    <t xml:space="preserve">Photo of Retshidi at the desk / with a laptop. Real photo, not a stock image. Caption carries the story.</t>
  </si>
  <si>
    <t xml:space="preserve">#PrimeCodeSolutions #Qwaqwa #Phuthaditjhaba #FoundersJourney</t>
  </si>
  <si>
    <t xml:space="preserve">PC-2026-009</t>
  </si>
  <si>
    <t xml:space="preserve">Still taking bookings on WhatsApp?</t>
  </si>
  <si>
    <t xml:space="preserve">Service businesses / salons / gyms</t>
  </si>
  <si>
    <t xml:space="preserve">Create demand</t>
  </si>
  <si>
    <t xml:space="preserve">WhatsApp bookings work — right up until they don't.</t>
  </si>
  <si>
    <t xml:space="preserve">How many bookings do you handle a week? Comment below.</t>
  </si>
  <si>
    <t xml:space="preserve">Split-screen visual: messy chat thread vs clean booking screen. Slides: when WhatsApp is fine / when it breaks / what a booking system does.</t>
  </si>
  <si>
    <t xml:space="preserve">PC-2026-010</t>
  </si>
  <si>
    <t xml:space="preserve">Behind the Code</t>
  </si>
  <si>
    <t xml:space="preserve">Behind the Code: what happens when you click 'Submit'</t>
  </si>
  <si>
    <t xml:space="preserve">Technical + curious business audience</t>
  </si>
  <si>
    <t xml:space="preserve">Demonstrate capability</t>
  </si>
  <si>
    <t xml:space="preserve">You click Submit. Six things happen before you see 'Thank you'.</t>
  </si>
  <si>
    <t xml:space="preserve">Want to see more of how this works? Let us know.</t>
  </si>
  <si>
    <t xml:space="preserve">CODE-01</t>
  </si>
  <si>
    <t xml:space="preserve">Flow diagram: browser to server to validation to database to response. Real editor screenshot on one slide.</t>
  </si>
  <si>
    <t xml:space="preserve">#BehindTheCode #SoftwareDevelopment #PrimeCodeSolutions</t>
  </si>
  <si>
    <t xml:space="preserve">PC-2026-011</t>
  </si>
  <si>
    <t xml:space="preserve">Digital Transformation in Qwaqwa</t>
  </si>
  <si>
    <t xml:space="preserve">Community</t>
  </si>
  <si>
    <t xml:space="preserve">What if your local gym had online membership?</t>
  </si>
  <si>
    <t xml:space="preserve">Local business owners</t>
  </si>
  <si>
    <t xml:space="preserve">Make transformation tangible</t>
  </si>
  <si>
    <t xml:space="preserve">Imagine a gym in Phuthaditjhaba where members sign up from their phones.</t>
  </si>
  <si>
    <t xml:space="preserve">Which local business would you most like to see do this?</t>
  </si>
  <si>
    <t xml:space="preserve">LOCAL-01</t>
  </si>
  <si>
    <t xml:space="preserve">Before/after concept frames. Keep it clearly illustrative — do not imply a real client unless one has agreed.</t>
  </si>
  <si>
    <t xml:space="preserve">#Qwaqwa #Phuthaditjhaba #DigitalTransformation #SmallBusiness</t>
  </si>
  <si>
    <t xml:space="preserve">PC-2026-012</t>
  </si>
  <si>
    <t xml:space="preserve">Behind the Build: BZ Fitness and Wellness</t>
  </si>
  <si>
    <t xml:space="preserve">Prove capability locally</t>
  </si>
  <si>
    <t xml:space="preserve">A community fitness business in Tseki needed more than a Facebook page.</t>
  </si>
  <si>
    <t xml:space="preserve">Running something similar? Let's talk about what you'd need.</t>
  </si>
  <si>
    <t xml:space="preserve">Phone mockups showing programmes, pricing and WhatsApp enquiry flow. Confirm client permission first.</t>
  </si>
  <si>
    <t xml:space="preserve">#PrimeCodeSolutions #WebDevelopment #FreeState #SmallBusiness</t>
  </si>
  <si>
    <t xml:space="preserve">PC-2026-013</t>
  </si>
  <si>
    <t xml:space="preserve">When a spreadsheet stops being enough</t>
  </si>
  <si>
    <t xml:space="preserve">SMEs with manual processes</t>
  </si>
  <si>
    <t xml:space="preserve">Spreadsheets are excellent. Until four people need the same one at the same time.</t>
  </si>
  <si>
    <t xml:space="preserve">Still running your business on a spreadsheet? You're not alone — tell us what it tracks.</t>
  </si>
  <si>
    <t xml:space="preserve">Slides: what spreadsheets do well / four warning signs / what a proper system changes.</t>
  </si>
  <si>
    <t xml:space="preserve">#SmallBusiness #BusinessTechnology #CustomSoftware #PrimeCodeSolutions</t>
  </si>
  <si>
    <t xml:space="preserve">PC-2026-014</t>
  </si>
  <si>
    <t xml:space="preserve">Behind the Code: how we design a database before writing any code</t>
  </si>
  <si>
    <t xml:space="preserve">Technical + business audience</t>
  </si>
  <si>
    <t xml:space="preserve">Demonstrate rigour</t>
  </si>
  <si>
    <t xml:space="preserve">Before we write a single line of code, we draw boxes and arrows.</t>
  </si>
  <si>
    <t xml:space="preserve">Save this if you're learning to build systems.</t>
  </si>
  <si>
    <t xml:space="preserve">Clean ER-style diagram (customers / bookings / services). Use a real diagram from a project or a neutral demo.</t>
  </si>
  <si>
    <t xml:space="preserve">#BehindTheCode #SoftwareDevelopment #Databases #PrimeCodeSolutions</t>
  </si>
  <si>
    <t xml:space="preserve">PC-2026-015</t>
  </si>
  <si>
    <t xml:space="preserve">Website vs web application — what's the difference?</t>
  </si>
  <si>
    <t xml:space="preserve">Build credibility</t>
  </si>
  <si>
    <t xml:space="preserve">A website tells people about your business. A web application runs part of it.</t>
  </si>
  <si>
    <t xml:space="preserve">Which one does your business actually need? Ask us.</t>
  </si>
  <si>
    <t xml:space="preserve">Two-column comparison graphic with clear examples under each.</t>
  </si>
  <si>
    <t xml:space="preserve">#PrimeCodeSolutions #WebDevelopment #Technology #SmallBusiness</t>
  </si>
  <si>
    <t xml:space="preserve">PC-2026-016</t>
  </si>
  <si>
    <t xml:space="preserve">Behind the Build: Deliwe Legacy</t>
  </si>
  <si>
    <t xml:space="preserve">Established businesses / multi-service companies</t>
  </si>
  <si>
    <t xml:space="preserve">Show range</t>
  </si>
  <si>
    <t xml:space="preserve">One company. Multiple divisions. One website that had to make sense of all of it.</t>
  </si>
  <si>
    <t xml:space="preserve">Got a complex business to present online? That's the kind of problem we enjoy.</t>
  </si>
  <si>
    <t xml:space="preserve">Desktop mockups showing the structure. Emphasise information architecture, not decoration. Confirm client permission.</t>
  </si>
  <si>
    <t xml:space="preserve">#PrimeCodeSolutions #WebDevelopment #SouthAfrica #BusinessTechnology</t>
  </si>
  <si>
    <t xml:space="preserve">PC-2026-017</t>
  </si>
  <si>
    <t xml:space="preserve">Your business should own its domain and email</t>
  </si>
  <si>
    <t xml:space="preserve">SMEs using free email addresses</t>
  </si>
  <si>
    <t xml:space="preserve">Create demand + educate</t>
  </si>
  <si>
    <t xml:space="preserve">If your business email ends in @gmail.com, you don't fully own your business identity.</t>
  </si>
  <si>
    <t xml:space="preserve">Does your business have its own domain yet?</t>
  </si>
  <si>
    <t xml:space="preserve">Visual comparison of a free email vs a business domain email. Keep tone helpful, never mocking.</t>
  </si>
  <si>
    <t xml:space="preserve">PC-2026-018</t>
  </si>
  <si>
    <t xml:space="preserve">5 things a Qwaqwa business could automate this year</t>
  </si>
  <si>
    <t xml:space="preserve">Connect mission to commerce</t>
  </si>
  <si>
    <t xml:space="preserve">Five things local businesses still do by hand that software could handle.</t>
  </si>
  <si>
    <t xml:space="preserve">Which of these five costs you the most time?</t>
  </si>
  <si>
    <t xml:space="preserve">Numbered list carousel, one item per slide, local imagery where possible.</t>
  </si>
  <si>
    <t xml:space="preserve">#Qwaqwa #Phuthaditjhaba #DigitalTransformation #FreeState</t>
  </si>
  <si>
    <t xml:space="preserve">PC-2026-019</t>
  </si>
  <si>
    <t xml:space="preserve">Why your website has to work on a cheap phone and a slow connection</t>
  </si>
  <si>
    <t xml:space="preserve">Educate on a locally relevant issue</t>
  </si>
  <si>
    <t xml:space="preserve">Most of your customers will see your website on a phone, on data, on a weak signal.</t>
  </si>
  <si>
    <t xml:space="preserve">Open your website on your phone right now. How long did it take?</t>
  </si>
  <si>
    <t xml:space="preserve">Side-by-side load comparison. Mention data cost, not just speed — that's what customers feel.</t>
  </si>
  <si>
    <t xml:space="preserve">#SmallBusiness #WebDevelopment #SouthAfrica #PrimeCodeSolutions</t>
  </si>
  <si>
    <t xml:space="preserve">PC-2026-020</t>
  </si>
  <si>
    <t xml:space="preserve">Behind the Code: how we make sites load fast on slow connections</t>
  </si>
  <si>
    <t xml:space="preserve">Fast websites aren't luck. Here are four things we do every time.</t>
  </si>
  <si>
    <t xml:space="preserve">Save this one — it applies to any site you own.</t>
  </si>
  <si>
    <t xml:space="preserve">Before/after performance metrics from a real project. Only use figures you can verify.</t>
  </si>
  <si>
    <t xml:space="preserve">#BehindTheCode #WebDevelopment #SoftwareDevelopment #PrimeCodeSolutions</t>
  </si>
  <si>
    <t xml:space="preserve">PC-2026-021</t>
  </si>
  <si>
    <t xml:space="preserve">Domain, hosting and website — three different things</t>
  </si>
  <si>
    <t xml:space="preserve">Your domain, your hosting and your website are three separate things. Confusing them is expensive.</t>
  </si>
  <si>
    <t xml:space="preserve">Save this before you renew anything.</t>
  </si>
  <si>
    <t xml:space="preserve">Property analogy: address / land / building. Three panels, one per concept.</t>
  </si>
  <si>
    <t xml:space="preserve">#PrimeCodeSolutions #Technology #SmallBusiness #WebDevelopment</t>
  </si>
  <si>
    <t xml:space="preserve">PC-2026-022</t>
  </si>
  <si>
    <t xml:space="preserve">What building software for local businesses has taught me</t>
  </si>
  <si>
    <t xml:space="preserve">Everyone</t>
  </si>
  <si>
    <t xml:space="preserve">The hardest part of this work has never been the code.</t>
  </si>
  <si>
    <t xml:space="preserve">What's something your work taught you that you didn't expect?</t>
  </si>
  <si>
    <t xml:space="preserve">Real workspace photo. Long-form caption carries the post.</t>
  </si>
  <si>
    <t xml:space="preserve">#PrimeCodeSolutions #Qwaqwa #SoftwareEngineering</t>
  </si>
  <si>
    <t xml:space="preserve">PC-2026-023</t>
  </si>
  <si>
    <t xml:space="preserve">5 signs your business has outgrown its current system</t>
  </si>
  <si>
    <t xml:space="preserve">Growing SMEs</t>
  </si>
  <si>
    <t xml:space="preserve">Growth doesn't announce itself. It shows up as small daily frustrations.</t>
  </si>
  <si>
    <t xml:space="preserve">Recognise any of these? Let's talk about what's next.</t>
  </si>
  <si>
    <t xml:space="preserve">Numbered signs, one per slide. Final slide: soft CTA.</t>
  </si>
  <si>
    <t xml:space="preserve">PC-2026-024</t>
  </si>
  <si>
    <t xml:space="preserve">What 'digital transformation' actually means for a small business here</t>
  </si>
  <si>
    <t xml:space="preserve">Local SMEs / community</t>
  </si>
  <si>
    <t xml:space="preserve">Close the 90 days with the core message</t>
  </si>
  <si>
    <t xml:space="preserve">Digital transformation is a big phrase for a small idea: stop doing by hand what a system can do.</t>
  </si>
  <si>
    <t xml:space="preserve">What would you automate first in your business?</t>
  </si>
  <si>
    <t xml:space="preserve">Strong typographic opener, then three plain-language examples grounded in local businesses.</t>
  </si>
  <si>
    <t xml:space="preserve">#DigitalTransformation #Qwaqwa #Phuthaditjhaba #PrimeCodeSolutions</t>
  </si>
  <si>
    <t xml:space="preserve">Ideas Backlog</t>
  </si>
  <si>
    <t xml:space="preserve">Dumping ground. When you think 'that would make a good post', put it here. Pull from this list when a calendar slot needs filling.</t>
  </si>
  <si>
    <t xml:space="preserve">#</t>
  </si>
  <si>
    <t xml:space="preserve">Idea</t>
  </si>
  <si>
    <t xml:space="preserve">Source / Trigger</t>
  </si>
  <si>
    <t xml:space="preserve">Priority</t>
  </si>
  <si>
    <t xml:space="preserve">What is HTTPS and why the padlock matters</t>
  </si>
  <si>
    <t xml:space="preserve">Client asked this in a meeting</t>
  </si>
  <si>
    <t xml:space="preserve">High</t>
  </si>
  <si>
    <t xml:space="preserve">Frontend vs backend, explained with a restaurant</t>
  </si>
  <si>
    <t xml:space="preserve">What is cloud hosting?</t>
  </si>
  <si>
    <t xml:space="preserve">What is authentication vs authorisation?</t>
  </si>
  <si>
    <t xml:space="preserve">What happens when you type a web address?</t>
  </si>
  <si>
    <t xml:space="preserve">Why your business needs backups</t>
  </si>
  <si>
    <t xml:space="preserve">How online booking saves a service business time</t>
  </si>
  <si>
    <t xml:space="preserve">What a customer portal could do for your business</t>
  </si>
  <si>
    <t xml:space="preserve">When custom software actually makes sense</t>
  </si>
  <si>
    <t xml:space="preserve">Why you shouldn't reuse the same password</t>
  </si>
  <si>
    <t xml:space="preserve">How a Google Business Profile helps local businesses</t>
  </si>
  <si>
    <t xml:space="preserve">Behind the Code: how we handle a login system</t>
  </si>
  <si>
    <t xml:space="preserve">Behind the Code: what testing actually looks like</t>
  </si>
  <si>
    <t xml:space="preserve">Behind the Code: how a site gets deployed</t>
  </si>
  <si>
    <t xml:space="preserve">Behind the Code: reading an error message</t>
  </si>
  <si>
    <t xml:space="preserve">Behind the Build: Borotho Tafoleng</t>
  </si>
  <si>
    <t xml:space="preserve">Before and after: a business moving online</t>
  </si>
  <si>
    <t xml:space="preserve">Feature spotlight: WhatsApp enquiry flow</t>
  </si>
  <si>
    <t xml:space="preserve">A website is not a digital brochure anymore</t>
  </si>
  <si>
    <t xml:space="preserve">Don't build software before you understand the problem</t>
  </si>
  <si>
    <t xml:space="preserve">Cheap websites are usually the expensive option</t>
  </si>
  <si>
    <t xml:space="preserve">What I'm learning as a software engineer right now</t>
  </si>
  <si>
    <t xml:space="preserve">The first project I ever shipped</t>
  </si>
  <si>
    <t xml:space="preserve">What if a local school had a proper parent portal?</t>
  </si>
  <si>
    <t xml:space="preserve">What if spaza shops could track stock digitally?</t>
  </si>
  <si>
    <t xml:space="preserve">Technology shouldn't only belong to big companies</t>
  </si>
  <si>
    <t xml:space="preserve">What SEO actually does for a small business</t>
  </si>
  <si>
    <t xml:space="preserve">What you get when you work with PrimeCode</t>
  </si>
  <si>
    <t xml:space="preserve">Row 5 shows the expected format for the two columns you fill in.</t>
  </si>
  <si>
    <t xml:space="preserve">Post Performance</t>
  </si>
  <si>
    <t xml:space="preserve">Fill the blue columns roughly 7 days after each post publishes. Reach, likes, comments, saves, shares and profile clicks all come from Meta Business Suite &gt; Insights. Topic and date fill themselves.</t>
  </si>
  <si>
    <t xml:space="preserve">Reach</t>
  </si>
  <si>
    <t xml:space="preserve">Likes</t>
  </si>
  <si>
    <t xml:space="preserve">Comments</t>
  </si>
  <si>
    <t xml:space="preserve">Saves</t>
  </si>
  <si>
    <t xml:space="preserve">Shares</t>
  </si>
  <si>
    <t xml:space="preserve">Profile Clicks</t>
  </si>
  <si>
    <t xml:space="preserve">Total Engagement</t>
  </si>
  <si>
    <t xml:space="preserve">Engagement Rate</t>
  </si>
  <si>
    <t xml:space="preserve">Lessons Learned</t>
  </si>
  <si>
    <t xml:space="preserve">TOTALS / AVERAGE</t>
  </si>
  <si>
    <t xml:space="preserve">Brand Knowledge - single source of truth</t>
  </si>
  <si>
    <t xml:space="preserve">Condensed from the Stage 1 Brand Brain. Paste this sheet into Claude (or a Claude Project) before asking for any PrimeCode content. Source: primecode-brand-brain.md, Stage 1.</t>
  </si>
  <si>
    <t xml:space="preserve">Field</t>
  </si>
  <si>
    <t xml:space="preserve">Value</t>
  </si>
  <si>
    <t xml:space="preserve">Company name</t>
  </si>
  <si>
    <t xml:space="preserve">PrimeCode Solutions</t>
  </si>
  <si>
    <t xml:space="preserve">One-line positioning</t>
  </si>
  <si>
    <t xml:space="preserve">PrimeCode Solutions helps businesses turn ideas and real-world problems into practical digital solutions.</t>
  </si>
  <si>
    <t xml:space="preserve">Primary geography</t>
  </si>
  <si>
    <t xml:space="preserve">Phuthaditjhaba / Qwaqwa / Free State, expanding to broader South Africa</t>
  </si>
  <si>
    <t xml:space="preserve">Current services (may be sold)</t>
  </si>
  <si>
    <t xml:space="preserve">Website development; Web applications; Custom software; SEO</t>
  </si>
  <si>
    <t xml:space="preserve">Future services (educational mention only)</t>
  </si>
  <si>
    <t xml:space="preserve">Mobile apps; Backend/API development; System integration; IT support; UI/UX; Automation</t>
  </si>
  <si>
    <t xml:space="preserve">Primary audience</t>
  </si>
  <si>
    <t xml:space="preserve">Local SMEs needing a digital presence or replacing manual processes</t>
  </si>
  <si>
    <t xml:space="preserve">Secondary audiences</t>
  </si>
  <si>
    <t xml:space="preserve">Startups; schools; entrepreneurs with software ideas; NGOs and community organisations</t>
  </si>
  <si>
    <t xml:space="preserve">Brand personality</t>
  </si>
  <si>
    <t xml:space="preserve">Reliable; friendly; affordable-but-not-cheap; community-oriented; approachable; innovative; educational</t>
  </si>
  <si>
    <t xml:space="preserve">Voice formula</t>
  </si>
  <si>
    <t xml:space="preserve">Here's the problem. Here's why it happens. Here's how technology can help.</t>
  </si>
  <si>
    <t xml:space="preserve">Words to prefer</t>
  </si>
  <si>
    <t xml:space="preserve">business, customer, problem, solution, website, system, practical, simple, useful, build, improve</t>
  </si>
  <si>
    <t xml:space="preserve">Words to avoid</t>
  </si>
  <si>
    <t xml:space="preserve">revolutionise, disrupt, synergy, next-generation, game-changing, cutting-edge, world-class, leverage</t>
  </si>
  <si>
    <t xml:space="preserve">Content philosophy</t>
  </si>
  <si>
    <t xml:space="preserve">Teach first. Demonstrate second. Sell third.</t>
  </si>
  <si>
    <t xml:space="preserve">Verifiable proof of work</t>
  </si>
  <si>
    <t xml:space="preserve">Thiboloha Special School; BZ Fitness and Wellness; Deliwe Legacy; Borotho Tafoleng</t>
  </si>
  <si>
    <t xml:space="preserve">Never claim</t>
  </si>
  <si>
    <t xml:space="preserve">Invented clients, testimonials, statistics, project results, services not yet offered, or expertise not held</t>
  </si>
  <si>
    <t xml:space="preserve">Client naming rule</t>
  </si>
  <si>
    <t xml:space="preserve">Get written permission before naming a client or showing their site in a post</t>
  </si>
  <si>
    <t xml:space="preserve">Posting rhythm</t>
  </si>
  <si>
    <t xml:space="preserve">Tuesday = value (education / business problem). Friday = PrimeCode (project / behind-the-scenes / service / story)</t>
  </si>
  <si>
    <t xml:space="preserve">Publishing tool</t>
  </si>
  <si>
    <t xml:space="preserve">Meta Business Suite Planner (free, schedules Facebook + Instagram together)</t>
  </si>
  <si>
    <t xml:space="preserve">Approval rule</t>
  </si>
  <si>
    <t xml:space="preserve">Nothing publishes without a human check on accuracy, authenticity, brand fit, visual quality and CTA</t>
  </si>
  <si>
    <t xml:space="preserve">Reference - series mix, visual templates, CTA library, workflow</t>
  </si>
  <si>
    <t xml:space="preserve">Series mix across the 24 posts</t>
  </si>
  <si>
    <t xml:space="preserve">Posts Scheduled</t>
  </si>
  <si>
    <t xml:space="preserve">% of Calendar</t>
  </si>
  <si>
    <t xml:space="preserve">Total</t>
  </si>
  <si>
    <t xml:space="preserve">Visual templates</t>
  </si>
  <si>
    <t xml:space="preserve">Template Code</t>
  </si>
  <si>
    <t xml:space="preserve">Used By</t>
  </si>
  <si>
    <t xml:space="preserve">Design Direction</t>
  </si>
  <si>
    <t xml:space="preserve">Large question headline on dark background, simple diagram, logo bottom-right</t>
  </si>
  <si>
    <t xml:space="preserve">Problem statement slide 1, solution slides after, tick/cross iconography</t>
  </si>
  <si>
    <t xml:space="preserve">Screenshot or diagram-led, monospace accents, minimal copy</t>
  </si>
  <si>
    <t xml:space="preserve">Device mockup of the live site, problem/approach/result structure</t>
  </si>
  <si>
    <t xml:space="preserve">Typography only. The sentence is the design.</t>
  </si>
  <si>
    <t xml:space="preserve">Service icon + short line, consistent grid, brand colours</t>
  </si>
  <si>
    <t xml:space="preserve">Real photograph, light text overlay, long caption does the work</t>
  </si>
  <si>
    <t xml:space="preserve">'What if...' framing, local imagery, before/after concept frames</t>
  </si>
  <si>
    <t xml:space="preserve">CTA library</t>
  </si>
  <si>
    <t xml:space="preserve">CTA Type</t>
  </si>
  <si>
    <t xml:space="preserve">Wording</t>
  </si>
  <si>
    <t xml:space="preserve">Educational</t>
  </si>
  <si>
    <t xml:space="preserve">Save this for later.</t>
  </si>
  <si>
    <t xml:space="preserve">Engagement</t>
  </si>
  <si>
    <t xml:space="preserve">What would you automate in your business?</t>
  </si>
  <si>
    <t xml:space="preserve">Business</t>
  </si>
  <si>
    <t xml:space="preserve">Is your business dealing with this problem?</t>
  </si>
  <si>
    <t xml:space="preserve">Service</t>
  </si>
  <si>
    <t xml:space="preserve">Need something like this for your business? Let's talk.</t>
  </si>
  <si>
    <t xml:space="preserve">Project</t>
  </si>
  <si>
    <t xml:space="preserve">Have an idea for a system? PrimeCode can help you explore it.</t>
  </si>
  <si>
    <t xml:space="preserve">What would you like to see more businesses in Qwaqwa doing digitally?</t>
  </si>
  <si>
    <t xml:space="preserve">Website</t>
  </si>
  <si>
    <t xml:space="preserve">Explore what PrimeCode can build for your business.</t>
  </si>
  <si>
    <t xml:space="preserve">Discussion</t>
  </si>
  <si>
    <t xml:space="preserve">Would you choose a website or an app?</t>
  </si>
  <si>
    <t xml:space="preserve">Status workflow</t>
  </si>
  <si>
    <t xml:space="preserve">IDEA -&gt; SELECTED -&gt; DRAFT -&gt; AI_REVIEW -&gt; HUMAN_REVIEW -&gt; REVISION -&gt; APPROVED -&gt; SCHEDULED -&gt; PUBLISHED -&gt; ANALYSED -&gt; ARCHIVED</t>
  </si>
  <si>
    <t xml:space="preserve">Only APPROVED or SCHEDULED posts may be loaded into Meta Business Suite. Human check before approval: accuracy, authenticity, brand fit, visual quality, CTA, and whether any client claim can be substantiated.</t>
  </si>
</sst>
</file>

<file path=xl/styles.xml><?xml version="1.0" encoding="utf-8"?>
<styleSheet xmlns="http://schemas.openxmlformats.org/spreadsheetml/2006/main">
  <numFmts count="3">
    <numFmt numFmtId="164" formatCode="General"/>
    <numFmt numFmtId="165" formatCode="yyyy\-mm\-dd"/>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0"/>
      <color rgb="FFFFFFFF"/>
      <name val="Arial"/>
      <family val="0"/>
      <charset val="1"/>
    </font>
    <font>
      <sz val="10"/>
      <name val="Arial"/>
      <family val="0"/>
      <charset val="1"/>
    </font>
    <font>
      <sz val="10"/>
      <color rgb="FF0000FF"/>
      <name val="Arial"/>
      <family val="0"/>
      <charset val="1"/>
    </font>
    <font>
      <sz val="10"/>
      <name val="Arial"/>
      <family val="2"/>
    </font>
    <font>
      <sz val="10"/>
      <color rgb="FF008000"/>
      <name val="Arial"/>
      <family val="0"/>
      <charset val="1"/>
    </font>
    <font>
      <b val="true"/>
      <sz val="10"/>
      <name val="Arial"/>
      <family val="0"/>
      <charset val="1"/>
    </font>
    <font>
      <b val="true"/>
      <sz val="11"/>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6"/>
    <col collapsed="false" customWidth="true" hidden="false" outlineLevel="0" max="3" min="3" style="0" width="12"/>
    <col collapsed="false" customWidth="true" hidden="false" outlineLevel="0" max="4" min="4" style="0" width="6"/>
    <col collapsed="false" customWidth="true" hidden="false" outlineLevel="0" max="5" min="5" style="0" width="22"/>
    <col collapsed="false" customWidth="true" hidden="false" outlineLevel="0" max="6" min="6" style="0" width="18"/>
    <col collapsed="false" customWidth="true" hidden="false" outlineLevel="0" max="7" min="7" style="0" width="34"/>
    <col collapsed="false" customWidth="true" hidden="false" outlineLevel="0" max="8" min="8" style="0" width="22"/>
    <col collapsed="false" customWidth="true" hidden="false" outlineLevel="0" max="9" min="9" style="0" width="20"/>
    <col collapsed="false" customWidth="true" hidden="false" outlineLevel="0" max="10" min="10" style="0" width="12"/>
    <col collapsed="false" customWidth="true" hidden="false" outlineLevel="0" max="11" min="11" style="0" width="10"/>
    <col collapsed="false" customWidth="true" hidden="false" outlineLevel="0" max="12" min="12" style="0" width="40"/>
    <col collapsed="false" customWidth="true" hidden="false" outlineLevel="0" max="13" min="13" style="0" width="55"/>
    <col collapsed="false" customWidth="true" hidden="false" outlineLevel="0" max="14" min="14" style="0" width="32"/>
    <col collapsed="false" customWidth="true" hidden="false" outlineLevel="0" max="15" min="15" style="0" width="14"/>
    <col collapsed="false" customWidth="true" hidden="false" outlineLevel="0" max="16" min="16" style="0" width="40"/>
    <col collapsed="false" customWidth="true" hidden="false" outlineLevel="0" max="17" min="17" style="0" width="30"/>
    <col collapsed="false" customWidth="true" hidden="false" outlineLevel="0" max="18" min="18" style="0" width="14"/>
    <col collapsed="false" customWidth="true" hidden="false" outlineLevel="0" max="19" min="19" style="0" width="20"/>
    <col collapsed="false" customWidth="true" hidden="false" outlineLevel="0" max="20" min="20" style="0" width="2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row>
    <row r="6" customFormat="false" ht="202.95" hidden="false" customHeight="false" outlineLevel="0" collapsed="false">
      <c r="A6" s="4" t="s">
        <v>23</v>
      </c>
      <c r="B6" s="4" t="n">
        <v>1</v>
      </c>
      <c r="C6" s="5" t="n">
        <v>46259</v>
      </c>
      <c r="D6" s="4" t="s">
        <v>24</v>
      </c>
      <c r="E6" s="4" t="s">
        <v>25</v>
      </c>
      <c r="F6" s="4" t="s">
        <v>26</v>
      </c>
      <c r="G6" s="4" t="s">
        <v>27</v>
      </c>
      <c r="H6" s="4" t="s">
        <v>28</v>
      </c>
      <c r="I6" s="4" t="s">
        <v>29</v>
      </c>
      <c r="J6" s="4" t="s">
        <v>30</v>
      </c>
      <c r="K6" s="4" t="s">
        <v>31</v>
      </c>
      <c r="L6" s="4" t="s">
        <v>32</v>
      </c>
      <c r="M6" s="6" t="s">
        <v>33</v>
      </c>
      <c r="N6" s="4" t="s">
        <v>34</v>
      </c>
      <c r="O6" s="4" t="s">
        <v>35</v>
      </c>
      <c r="P6" s="4" t="s">
        <v>36</v>
      </c>
      <c r="Q6" s="4" t="s">
        <v>37</v>
      </c>
      <c r="R6" s="6" t="s">
        <v>38</v>
      </c>
      <c r="S6" s="6"/>
      <c r="T6" s="6"/>
    </row>
    <row r="7" customFormat="false" ht="270.1" hidden="false" customHeight="false" outlineLevel="0" collapsed="false">
      <c r="A7" s="7" t="s">
        <v>39</v>
      </c>
      <c r="B7" s="7" t="n">
        <v>1</v>
      </c>
      <c r="C7" s="8" t="n">
        <v>46262</v>
      </c>
      <c r="D7" s="7" t="s">
        <v>40</v>
      </c>
      <c r="E7" s="7" t="s">
        <v>41</v>
      </c>
      <c r="F7" s="7" t="s">
        <v>42</v>
      </c>
      <c r="G7" s="7" t="s">
        <v>43</v>
      </c>
      <c r="H7" s="7" t="s">
        <v>44</v>
      </c>
      <c r="I7" s="7" t="s">
        <v>45</v>
      </c>
      <c r="J7" s="7" t="s">
        <v>30</v>
      </c>
      <c r="K7" s="7" t="s">
        <v>31</v>
      </c>
      <c r="L7" s="7" t="s">
        <v>46</v>
      </c>
      <c r="M7" s="6" t="s">
        <v>47</v>
      </c>
      <c r="N7" s="7" t="s">
        <v>48</v>
      </c>
      <c r="O7" s="7" t="s">
        <v>49</v>
      </c>
      <c r="P7" s="7" t="s">
        <v>50</v>
      </c>
      <c r="Q7" s="7" t="s">
        <v>51</v>
      </c>
      <c r="R7" s="6" t="s">
        <v>38</v>
      </c>
      <c r="S7" s="6"/>
      <c r="T7" s="6"/>
    </row>
    <row r="8" customFormat="false" ht="236.55" hidden="false" customHeight="false" outlineLevel="0" collapsed="false">
      <c r="A8" s="4" t="s">
        <v>52</v>
      </c>
      <c r="B8" s="4" t="n">
        <v>2</v>
      </c>
      <c r="C8" s="5" t="n">
        <v>46266</v>
      </c>
      <c r="D8" s="4" t="s">
        <v>24</v>
      </c>
      <c r="E8" s="4" t="s">
        <v>53</v>
      </c>
      <c r="F8" s="4" t="s">
        <v>54</v>
      </c>
      <c r="G8" s="4" t="s">
        <v>55</v>
      </c>
      <c r="H8" s="4" t="s">
        <v>56</v>
      </c>
      <c r="I8" s="4" t="s">
        <v>57</v>
      </c>
      <c r="J8" s="4" t="s">
        <v>30</v>
      </c>
      <c r="K8" s="4" t="s">
        <v>31</v>
      </c>
      <c r="L8" s="4" t="s">
        <v>58</v>
      </c>
      <c r="M8" s="6" t="s">
        <v>59</v>
      </c>
      <c r="N8" s="4" t="s">
        <v>60</v>
      </c>
      <c r="O8" s="4" t="s">
        <v>61</v>
      </c>
      <c r="P8" s="4" t="s">
        <v>62</v>
      </c>
      <c r="Q8" s="4" t="s">
        <v>63</v>
      </c>
      <c r="R8" s="6" t="s">
        <v>38</v>
      </c>
      <c r="S8" s="6"/>
      <c r="T8" s="6"/>
    </row>
    <row r="9" customFormat="false" ht="247.75" hidden="false" customHeight="false" outlineLevel="0" collapsed="false">
      <c r="A9" s="7" t="s">
        <v>64</v>
      </c>
      <c r="B9" s="7" t="n">
        <v>2</v>
      </c>
      <c r="C9" s="8" t="n">
        <v>46269</v>
      </c>
      <c r="D9" s="7" t="s">
        <v>40</v>
      </c>
      <c r="E9" s="7" t="s">
        <v>65</v>
      </c>
      <c r="F9" s="7" t="s">
        <v>66</v>
      </c>
      <c r="G9" s="7" t="s">
        <v>67</v>
      </c>
      <c r="H9" s="7" t="s">
        <v>68</v>
      </c>
      <c r="I9" s="7" t="s">
        <v>69</v>
      </c>
      <c r="J9" s="7" t="s">
        <v>30</v>
      </c>
      <c r="K9" s="7" t="s">
        <v>31</v>
      </c>
      <c r="L9" s="7" t="s">
        <v>70</v>
      </c>
      <c r="M9" s="6" t="s">
        <v>71</v>
      </c>
      <c r="N9" s="7" t="s">
        <v>72</v>
      </c>
      <c r="O9" s="7" t="s">
        <v>73</v>
      </c>
      <c r="P9" s="7" t="s">
        <v>74</v>
      </c>
      <c r="Q9" s="7" t="s">
        <v>75</v>
      </c>
      <c r="R9" s="6" t="s">
        <v>38</v>
      </c>
      <c r="S9" s="6"/>
      <c r="T9" s="6"/>
    </row>
    <row r="10" customFormat="false" ht="35.05" hidden="false" customHeight="false" outlineLevel="0" collapsed="false">
      <c r="A10" s="4" t="s">
        <v>76</v>
      </c>
      <c r="B10" s="4" t="n">
        <v>3</v>
      </c>
      <c r="C10" s="5" t="n">
        <v>46273</v>
      </c>
      <c r="D10" s="4" t="s">
        <v>24</v>
      </c>
      <c r="E10" s="4" t="s">
        <v>77</v>
      </c>
      <c r="F10" s="4" t="s">
        <v>78</v>
      </c>
      <c r="G10" s="4" t="s">
        <v>79</v>
      </c>
      <c r="H10" s="4" t="s">
        <v>80</v>
      </c>
      <c r="I10" s="4" t="s">
        <v>81</v>
      </c>
      <c r="J10" s="4" t="s">
        <v>82</v>
      </c>
      <c r="K10" s="4" t="s">
        <v>31</v>
      </c>
      <c r="L10" s="4" t="s">
        <v>83</v>
      </c>
      <c r="M10" s="6"/>
      <c r="N10" s="4" t="s">
        <v>84</v>
      </c>
      <c r="O10" s="4" t="s">
        <v>85</v>
      </c>
      <c r="P10" s="4" t="s">
        <v>86</v>
      </c>
      <c r="Q10" s="4" t="s">
        <v>87</v>
      </c>
      <c r="R10" s="6" t="s">
        <v>88</v>
      </c>
      <c r="S10" s="6"/>
      <c r="T10" s="6"/>
    </row>
    <row r="11" customFormat="false" ht="35.05" hidden="false" customHeight="false" outlineLevel="0" collapsed="false">
      <c r="A11" s="7" t="s">
        <v>89</v>
      </c>
      <c r="B11" s="7" t="n">
        <v>3</v>
      </c>
      <c r="C11" s="8" t="n">
        <v>46276</v>
      </c>
      <c r="D11" s="7" t="s">
        <v>40</v>
      </c>
      <c r="E11" s="7" t="s">
        <v>41</v>
      </c>
      <c r="F11" s="7" t="s">
        <v>42</v>
      </c>
      <c r="G11" s="7" t="s">
        <v>90</v>
      </c>
      <c r="H11" s="7" t="s">
        <v>91</v>
      </c>
      <c r="I11" s="7" t="s">
        <v>92</v>
      </c>
      <c r="J11" s="7" t="s">
        <v>30</v>
      </c>
      <c r="K11" s="7" t="s">
        <v>31</v>
      </c>
      <c r="L11" s="7" t="s">
        <v>93</v>
      </c>
      <c r="M11" s="6"/>
      <c r="N11" s="7" t="s">
        <v>94</v>
      </c>
      <c r="O11" s="7" t="s">
        <v>49</v>
      </c>
      <c r="P11" s="7" t="s">
        <v>95</v>
      </c>
      <c r="Q11" s="7" t="s">
        <v>96</v>
      </c>
      <c r="R11" s="6" t="s">
        <v>88</v>
      </c>
      <c r="S11" s="6"/>
      <c r="T11" s="6"/>
    </row>
    <row r="12" customFormat="false" ht="35.05" hidden="false" customHeight="false" outlineLevel="0" collapsed="false">
      <c r="A12" s="4" t="s">
        <v>97</v>
      </c>
      <c r="B12" s="4" t="n">
        <v>4</v>
      </c>
      <c r="C12" s="5" t="n">
        <v>46280</v>
      </c>
      <c r="D12" s="4" t="s">
        <v>24</v>
      </c>
      <c r="E12" s="4" t="s">
        <v>98</v>
      </c>
      <c r="F12" s="4" t="s">
        <v>99</v>
      </c>
      <c r="G12" s="4" t="s">
        <v>100</v>
      </c>
      <c r="H12" s="4" t="s">
        <v>101</v>
      </c>
      <c r="I12" s="4" t="s">
        <v>102</v>
      </c>
      <c r="J12" s="4" t="s">
        <v>30</v>
      </c>
      <c r="K12" s="4" t="s">
        <v>31</v>
      </c>
      <c r="L12" s="4" t="s">
        <v>103</v>
      </c>
      <c r="M12" s="6"/>
      <c r="N12" s="4" t="s">
        <v>104</v>
      </c>
      <c r="O12" s="4" t="s">
        <v>105</v>
      </c>
      <c r="P12" s="4" t="s">
        <v>106</v>
      </c>
      <c r="Q12" s="4" t="s">
        <v>107</v>
      </c>
      <c r="R12" s="6" t="s">
        <v>88</v>
      </c>
      <c r="S12" s="6"/>
      <c r="T12" s="6"/>
    </row>
    <row r="13" customFormat="false" ht="35.05" hidden="false" customHeight="false" outlineLevel="0" collapsed="false">
      <c r="A13" s="7" t="s">
        <v>108</v>
      </c>
      <c r="B13" s="7" t="n">
        <v>4</v>
      </c>
      <c r="C13" s="8" t="n">
        <v>46283</v>
      </c>
      <c r="D13" s="7" t="s">
        <v>40</v>
      </c>
      <c r="E13" s="7" t="s">
        <v>25</v>
      </c>
      <c r="F13" s="7" t="s">
        <v>26</v>
      </c>
      <c r="G13" s="7" t="s">
        <v>109</v>
      </c>
      <c r="H13" s="7" t="s">
        <v>28</v>
      </c>
      <c r="I13" s="7" t="s">
        <v>110</v>
      </c>
      <c r="J13" s="7" t="s">
        <v>82</v>
      </c>
      <c r="K13" s="7" t="s">
        <v>31</v>
      </c>
      <c r="L13" s="7" t="s">
        <v>111</v>
      </c>
      <c r="M13" s="6"/>
      <c r="N13" s="7" t="s">
        <v>112</v>
      </c>
      <c r="O13" s="7" t="s">
        <v>35</v>
      </c>
      <c r="P13" s="7" t="s">
        <v>113</v>
      </c>
      <c r="Q13" s="7" t="s">
        <v>114</v>
      </c>
      <c r="R13" s="6" t="s">
        <v>88</v>
      </c>
      <c r="S13" s="6"/>
      <c r="T13" s="6"/>
    </row>
    <row r="14" customFormat="false" ht="35.05" hidden="false" customHeight="false" outlineLevel="0" collapsed="false">
      <c r="A14" s="4" t="s">
        <v>115</v>
      </c>
      <c r="B14" s="4" t="n">
        <v>5</v>
      </c>
      <c r="C14" s="5" t="n">
        <v>46287</v>
      </c>
      <c r="D14" s="4" t="s">
        <v>24</v>
      </c>
      <c r="E14" s="4" t="s">
        <v>53</v>
      </c>
      <c r="F14" s="4" t="s">
        <v>54</v>
      </c>
      <c r="G14" s="4" t="s">
        <v>116</v>
      </c>
      <c r="H14" s="4" t="s">
        <v>117</v>
      </c>
      <c r="I14" s="4" t="s">
        <v>118</v>
      </c>
      <c r="J14" s="4" t="s">
        <v>30</v>
      </c>
      <c r="K14" s="4" t="s">
        <v>31</v>
      </c>
      <c r="L14" s="4" t="s">
        <v>119</v>
      </c>
      <c r="M14" s="6"/>
      <c r="N14" s="4" t="s">
        <v>120</v>
      </c>
      <c r="O14" s="4" t="s">
        <v>61</v>
      </c>
      <c r="P14" s="4" t="s">
        <v>121</v>
      </c>
      <c r="Q14" s="4" t="s">
        <v>63</v>
      </c>
      <c r="R14" s="6" t="s">
        <v>88</v>
      </c>
      <c r="S14" s="6"/>
      <c r="T14" s="6"/>
    </row>
    <row r="15" customFormat="false" ht="35.05" hidden="false" customHeight="false" outlineLevel="0" collapsed="false">
      <c r="A15" s="7" t="s">
        <v>122</v>
      </c>
      <c r="B15" s="7" t="n">
        <v>5</v>
      </c>
      <c r="C15" s="8" t="n">
        <v>46290</v>
      </c>
      <c r="D15" s="7" t="s">
        <v>40</v>
      </c>
      <c r="E15" s="7" t="s">
        <v>123</v>
      </c>
      <c r="F15" s="7" t="s">
        <v>123</v>
      </c>
      <c r="G15" s="7" t="s">
        <v>124</v>
      </c>
      <c r="H15" s="7" t="s">
        <v>125</v>
      </c>
      <c r="I15" s="7" t="s">
        <v>126</v>
      </c>
      <c r="J15" s="7" t="s">
        <v>30</v>
      </c>
      <c r="K15" s="7" t="s">
        <v>31</v>
      </c>
      <c r="L15" s="7" t="s">
        <v>127</v>
      </c>
      <c r="M15" s="6"/>
      <c r="N15" s="7" t="s">
        <v>128</v>
      </c>
      <c r="O15" s="7" t="s">
        <v>129</v>
      </c>
      <c r="P15" s="7" t="s">
        <v>130</v>
      </c>
      <c r="Q15" s="7" t="s">
        <v>131</v>
      </c>
      <c r="R15" s="6" t="s">
        <v>88</v>
      </c>
      <c r="S15" s="6"/>
      <c r="T15" s="6"/>
    </row>
    <row r="16" customFormat="false" ht="35.05" hidden="false" customHeight="false" outlineLevel="0" collapsed="false">
      <c r="A16" s="4" t="s">
        <v>132</v>
      </c>
      <c r="B16" s="4" t="n">
        <v>6</v>
      </c>
      <c r="C16" s="5" t="n">
        <v>46294</v>
      </c>
      <c r="D16" s="4" t="s">
        <v>24</v>
      </c>
      <c r="E16" s="4" t="s">
        <v>133</v>
      </c>
      <c r="F16" s="4" t="s">
        <v>134</v>
      </c>
      <c r="G16" s="4" t="s">
        <v>135</v>
      </c>
      <c r="H16" s="4" t="s">
        <v>136</v>
      </c>
      <c r="I16" s="4" t="s">
        <v>137</v>
      </c>
      <c r="J16" s="4" t="s">
        <v>30</v>
      </c>
      <c r="K16" s="4" t="s">
        <v>31</v>
      </c>
      <c r="L16" s="4" t="s">
        <v>138</v>
      </c>
      <c r="M16" s="6"/>
      <c r="N16" s="4" t="s">
        <v>139</v>
      </c>
      <c r="O16" s="4" t="s">
        <v>140</v>
      </c>
      <c r="P16" s="4" t="s">
        <v>141</v>
      </c>
      <c r="Q16" s="4" t="s">
        <v>142</v>
      </c>
      <c r="R16" s="6" t="s">
        <v>88</v>
      </c>
      <c r="S16" s="6"/>
      <c r="T16" s="6"/>
    </row>
    <row r="17" customFormat="false" ht="35.05" hidden="false" customHeight="false" outlineLevel="0" collapsed="false">
      <c r="A17" s="7" t="s">
        <v>143</v>
      </c>
      <c r="B17" s="7" t="n">
        <v>6</v>
      </c>
      <c r="C17" s="8" t="n">
        <v>46297</v>
      </c>
      <c r="D17" s="7" t="s">
        <v>40</v>
      </c>
      <c r="E17" s="7" t="s">
        <v>65</v>
      </c>
      <c r="F17" s="7" t="s">
        <v>66</v>
      </c>
      <c r="G17" s="7" t="s">
        <v>144</v>
      </c>
      <c r="H17" s="7" t="s">
        <v>56</v>
      </c>
      <c r="I17" s="7" t="s">
        <v>145</v>
      </c>
      <c r="J17" s="7" t="s">
        <v>30</v>
      </c>
      <c r="K17" s="7" t="s">
        <v>31</v>
      </c>
      <c r="L17" s="7" t="s">
        <v>146</v>
      </c>
      <c r="M17" s="6"/>
      <c r="N17" s="7" t="s">
        <v>147</v>
      </c>
      <c r="O17" s="7" t="s">
        <v>73</v>
      </c>
      <c r="P17" s="7" t="s">
        <v>148</v>
      </c>
      <c r="Q17" s="7" t="s">
        <v>149</v>
      </c>
      <c r="R17" s="6" t="s">
        <v>88</v>
      </c>
      <c r="S17" s="6"/>
      <c r="T17" s="6"/>
    </row>
    <row r="18" customFormat="false" ht="46.25" hidden="false" customHeight="false" outlineLevel="0" collapsed="false">
      <c r="A18" s="4" t="s">
        <v>150</v>
      </c>
      <c r="B18" s="4" t="n">
        <v>7</v>
      </c>
      <c r="C18" s="5" t="n">
        <v>46301</v>
      </c>
      <c r="D18" s="4" t="s">
        <v>24</v>
      </c>
      <c r="E18" s="4" t="s">
        <v>53</v>
      </c>
      <c r="F18" s="4" t="s">
        <v>54</v>
      </c>
      <c r="G18" s="4" t="s">
        <v>151</v>
      </c>
      <c r="H18" s="4" t="s">
        <v>152</v>
      </c>
      <c r="I18" s="4" t="s">
        <v>118</v>
      </c>
      <c r="J18" s="4" t="s">
        <v>30</v>
      </c>
      <c r="K18" s="4" t="s">
        <v>31</v>
      </c>
      <c r="L18" s="4" t="s">
        <v>153</v>
      </c>
      <c r="M18" s="6"/>
      <c r="N18" s="4" t="s">
        <v>154</v>
      </c>
      <c r="O18" s="4" t="s">
        <v>61</v>
      </c>
      <c r="P18" s="4" t="s">
        <v>155</v>
      </c>
      <c r="Q18" s="4" t="s">
        <v>156</v>
      </c>
      <c r="R18" s="6" t="s">
        <v>88</v>
      </c>
      <c r="S18" s="6"/>
      <c r="T18" s="6"/>
    </row>
    <row r="19" customFormat="false" ht="35.05" hidden="false" customHeight="false" outlineLevel="0" collapsed="false">
      <c r="A19" s="7" t="s">
        <v>157</v>
      </c>
      <c r="B19" s="7" t="n">
        <v>7</v>
      </c>
      <c r="C19" s="8" t="n">
        <v>46304</v>
      </c>
      <c r="D19" s="7" t="s">
        <v>40</v>
      </c>
      <c r="E19" s="7" t="s">
        <v>123</v>
      </c>
      <c r="F19" s="7" t="s">
        <v>123</v>
      </c>
      <c r="G19" s="7" t="s">
        <v>158</v>
      </c>
      <c r="H19" s="7" t="s">
        <v>159</v>
      </c>
      <c r="I19" s="7" t="s">
        <v>160</v>
      </c>
      <c r="J19" s="7" t="s">
        <v>30</v>
      </c>
      <c r="K19" s="7" t="s">
        <v>31</v>
      </c>
      <c r="L19" s="7" t="s">
        <v>161</v>
      </c>
      <c r="M19" s="6"/>
      <c r="N19" s="7" t="s">
        <v>162</v>
      </c>
      <c r="O19" s="7" t="s">
        <v>129</v>
      </c>
      <c r="P19" s="7" t="s">
        <v>163</v>
      </c>
      <c r="Q19" s="7" t="s">
        <v>164</v>
      </c>
      <c r="R19" s="6" t="s">
        <v>88</v>
      </c>
      <c r="S19" s="6"/>
      <c r="T19" s="6"/>
    </row>
    <row r="20" customFormat="false" ht="35.05" hidden="false" customHeight="false" outlineLevel="0" collapsed="false">
      <c r="A20" s="4" t="s">
        <v>165</v>
      </c>
      <c r="B20" s="4" t="n">
        <v>8</v>
      </c>
      <c r="C20" s="5" t="n">
        <v>46308</v>
      </c>
      <c r="D20" s="4" t="s">
        <v>24</v>
      </c>
      <c r="E20" s="4" t="s">
        <v>98</v>
      </c>
      <c r="F20" s="4" t="s">
        <v>99</v>
      </c>
      <c r="G20" s="4" t="s">
        <v>166</v>
      </c>
      <c r="H20" s="4" t="s">
        <v>101</v>
      </c>
      <c r="I20" s="4" t="s">
        <v>167</v>
      </c>
      <c r="J20" s="4" t="s">
        <v>30</v>
      </c>
      <c r="K20" s="4" t="s">
        <v>31</v>
      </c>
      <c r="L20" s="4" t="s">
        <v>168</v>
      </c>
      <c r="M20" s="6"/>
      <c r="N20" s="4" t="s">
        <v>169</v>
      </c>
      <c r="O20" s="4" t="s">
        <v>105</v>
      </c>
      <c r="P20" s="4" t="s">
        <v>170</v>
      </c>
      <c r="Q20" s="4" t="s">
        <v>171</v>
      </c>
      <c r="R20" s="6" t="s">
        <v>88</v>
      </c>
      <c r="S20" s="6"/>
      <c r="T20" s="6"/>
    </row>
    <row r="21" customFormat="false" ht="35.05" hidden="false" customHeight="false" outlineLevel="0" collapsed="false">
      <c r="A21" s="7" t="s">
        <v>172</v>
      </c>
      <c r="B21" s="7" t="n">
        <v>8</v>
      </c>
      <c r="C21" s="8" t="n">
        <v>46311</v>
      </c>
      <c r="D21" s="7" t="s">
        <v>40</v>
      </c>
      <c r="E21" s="7" t="s">
        <v>65</v>
      </c>
      <c r="F21" s="7" t="s">
        <v>66</v>
      </c>
      <c r="G21" s="7" t="s">
        <v>173</v>
      </c>
      <c r="H21" s="7" t="s">
        <v>174</v>
      </c>
      <c r="I21" s="7" t="s">
        <v>175</v>
      </c>
      <c r="J21" s="7" t="s">
        <v>30</v>
      </c>
      <c r="K21" s="7" t="s">
        <v>31</v>
      </c>
      <c r="L21" s="7" t="s">
        <v>176</v>
      </c>
      <c r="M21" s="6"/>
      <c r="N21" s="7" t="s">
        <v>177</v>
      </c>
      <c r="O21" s="7" t="s">
        <v>73</v>
      </c>
      <c r="P21" s="7" t="s">
        <v>178</v>
      </c>
      <c r="Q21" s="7" t="s">
        <v>179</v>
      </c>
      <c r="R21" s="6" t="s">
        <v>88</v>
      </c>
      <c r="S21" s="6"/>
      <c r="T21" s="6"/>
    </row>
    <row r="22" customFormat="false" ht="35.05" hidden="false" customHeight="false" outlineLevel="0" collapsed="false">
      <c r="A22" s="4" t="s">
        <v>180</v>
      </c>
      <c r="B22" s="4" t="n">
        <v>9</v>
      </c>
      <c r="C22" s="5" t="n">
        <v>46315</v>
      </c>
      <c r="D22" s="4" t="s">
        <v>24</v>
      </c>
      <c r="E22" s="4" t="s">
        <v>53</v>
      </c>
      <c r="F22" s="4" t="s">
        <v>54</v>
      </c>
      <c r="G22" s="4" t="s">
        <v>181</v>
      </c>
      <c r="H22" s="4" t="s">
        <v>182</v>
      </c>
      <c r="I22" s="4" t="s">
        <v>183</v>
      </c>
      <c r="J22" s="4" t="s">
        <v>30</v>
      </c>
      <c r="K22" s="4" t="s">
        <v>31</v>
      </c>
      <c r="L22" s="4" t="s">
        <v>184</v>
      </c>
      <c r="M22" s="6"/>
      <c r="N22" s="4" t="s">
        <v>185</v>
      </c>
      <c r="O22" s="4" t="s">
        <v>61</v>
      </c>
      <c r="P22" s="4" t="s">
        <v>186</v>
      </c>
      <c r="Q22" s="4" t="s">
        <v>63</v>
      </c>
      <c r="R22" s="6" t="s">
        <v>88</v>
      </c>
      <c r="S22" s="6"/>
      <c r="T22" s="6"/>
    </row>
    <row r="23" customFormat="false" ht="23.85" hidden="false" customHeight="false" outlineLevel="0" collapsed="false">
      <c r="A23" s="7" t="s">
        <v>187</v>
      </c>
      <c r="B23" s="7" t="n">
        <v>9</v>
      </c>
      <c r="C23" s="8" t="n">
        <v>46318</v>
      </c>
      <c r="D23" s="7" t="s">
        <v>40</v>
      </c>
      <c r="E23" s="7" t="s">
        <v>133</v>
      </c>
      <c r="F23" s="7" t="s">
        <v>134</v>
      </c>
      <c r="G23" s="7" t="s">
        <v>188</v>
      </c>
      <c r="H23" s="7" t="s">
        <v>136</v>
      </c>
      <c r="I23" s="7" t="s">
        <v>189</v>
      </c>
      <c r="J23" s="7" t="s">
        <v>30</v>
      </c>
      <c r="K23" s="7" t="s">
        <v>31</v>
      </c>
      <c r="L23" s="7" t="s">
        <v>190</v>
      </c>
      <c r="M23" s="6"/>
      <c r="N23" s="7" t="s">
        <v>191</v>
      </c>
      <c r="O23" s="7" t="s">
        <v>140</v>
      </c>
      <c r="P23" s="7" t="s">
        <v>192</v>
      </c>
      <c r="Q23" s="7" t="s">
        <v>193</v>
      </c>
      <c r="R23" s="6" t="s">
        <v>88</v>
      </c>
      <c r="S23" s="6"/>
      <c r="T23" s="6"/>
    </row>
    <row r="24" customFormat="false" ht="35.05" hidden="false" customHeight="false" outlineLevel="0" collapsed="false">
      <c r="A24" s="4" t="s">
        <v>194</v>
      </c>
      <c r="B24" s="4" t="n">
        <v>10</v>
      </c>
      <c r="C24" s="5" t="n">
        <v>46322</v>
      </c>
      <c r="D24" s="4" t="s">
        <v>24</v>
      </c>
      <c r="E24" s="4" t="s">
        <v>53</v>
      </c>
      <c r="F24" s="4" t="s">
        <v>54</v>
      </c>
      <c r="G24" s="4" t="s">
        <v>195</v>
      </c>
      <c r="H24" s="4" t="s">
        <v>56</v>
      </c>
      <c r="I24" s="4" t="s">
        <v>196</v>
      </c>
      <c r="J24" s="4" t="s">
        <v>30</v>
      </c>
      <c r="K24" s="4" t="s">
        <v>31</v>
      </c>
      <c r="L24" s="4" t="s">
        <v>197</v>
      </c>
      <c r="M24" s="6"/>
      <c r="N24" s="4" t="s">
        <v>198</v>
      </c>
      <c r="O24" s="4" t="s">
        <v>61</v>
      </c>
      <c r="P24" s="4" t="s">
        <v>199</v>
      </c>
      <c r="Q24" s="4" t="s">
        <v>200</v>
      </c>
      <c r="R24" s="6" t="s">
        <v>88</v>
      </c>
      <c r="S24" s="6"/>
      <c r="T24" s="6"/>
    </row>
    <row r="25" customFormat="false" ht="46.25" hidden="false" customHeight="false" outlineLevel="0" collapsed="false">
      <c r="A25" s="7" t="s">
        <v>201</v>
      </c>
      <c r="B25" s="7" t="n">
        <v>10</v>
      </c>
      <c r="C25" s="8" t="n">
        <v>46325</v>
      </c>
      <c r="D25" s="7" t="s">
        <v>40</v>
      </c>
      <c r="E25" s="7" t="s">
        <v>123</v>
      </c>
      <c r="F25" s="7" t="s">
        <v>123</v>
      </c>
      <c r="G25" s="7" t="s">
        <v>202</v>
      </c>
      <c r="H25" s="7" t="s">
        <v>159</v>
      </c>
      <c r="I25" s="7" t="s">
        <v>126</v>
      </c>
      <c r="J25" s="7" t="s">
        <v>30</v>
      </c>
      <c r="K25" s="7" t="s">
        <v>31</v>
      </c>
      <c r="L25" s="7" t="s">
        <v>203</v>
      </c>
      <c r="M25" s="6"/>
      <c r="N25" s="7" t="s">
        <v>204</v>
      </c>
      <c r="O25" s="7" t="s">
        <v>129</v>
      </c>
      <c r="P25" s="7" t="s">
        <v>205</v>
      </c>
      <c r="Q25" s="7" t="s">
        <v>206</v>
      </c>
      <c r="R25" s="6" t="s">
        <v>88</v>
      </c>
      <c r="S25" s="6"/>
      <c r="T25" s="6"/>
    </row>
    <row r="26" customFormat="false" ht="35.05" hidden="false" customHeight="false" outlineLevel="0" collapsed="false">
      <c r="A26" s="4" t="s">
        <v>207</v>
      </c>
      <c r="B26" s="4" t="n">
        <v>11</v>
      </c>
      <c r="C26" s="5" t="n">
        <v>46329</v>
      </c>
      <c r="D26" s="4" t="s">
        <v>24</v>
      </c>
      <c r="E26" s="4" t="s">
        <v>98</v>
      </c>
      <c r="F26" s="4" t="s">
        <v>99</v>
      </c>
      <c r="G26" s="4" t="s">
        <v>208</v>
      </c>
      <c r="H26" s="4" t="s">
        <v>101</v>
      </c>
      <c r="I26" s="4" t="s">
        <v>167</v>
      </c>
      <c r="J26" s="4" t="s">
        <v>30</v>
      </c>
      <c r="K26" s="4" t="s">
        <v>31</v>
      </c>
      <c r="L26" s="4" t="s">
        <v>209</v>
      </c>
      <c r="M26" s="6"/>
      <c r="N26" s="4" t="s">
        <v>210</v>
      </c>
      <c r="O26" s="4" t="s">
        <v>105</v>
      </c>
      <c r="P26" s="4" t="s">
        <v>211</v>
      </c>
      <c r="Q26" s="4" t="s">
        <v>212</v>
      </c>
      <c r="R26" s="6" t="s">
        <v>88</v>
      </c>
      <c r="S26" s="6"/>
      <c r="T26" s="6"/>
    </row>
    <row r="27" customFormat="false" ht="23.85" hidden="false" customHeight="false" outlineLevel="0" collapsed="false">
      <c r="A27" s="7" t="s">
        <v>213</v>
      </c>
      <c r="B27" s="7" t="n">
        <v>11</v>
      </c>
      <c r="C27" s="8" t="n">
        <v>46332</v>
      </c>
      <c r="D27" s="7" t="s">
        <v>40</v>
      </c>
      <c r="E27" s="7" t="s">
        <v>25</v>
      </c>
      <c r="F27" s="7" t="s">
        <v>26</v>
      </c>
      <c r="G27" s="7" t="s">
        <v>214</v>
      </c>
      <c r="H27" s="7" t="s">
        <v>215</v>
      </c>
      <c r="I27" s="7" t="s">
        <v>110</v>
      </c>
      <c r="J27" s="7" t="s">
        <v>82</v>
      </c>
      <c r="K27" s="7" t="s">
        <v>31</v>
      </c>
      <c r="L27" s="7" t="s">
        <v>216</v>
      </c>
      <c r="M27" s="6"/>
      <c r="N27" s="7" t="s">
        <v>217</v>
      </c>
      <c r="O27" s="7" t="s">
        <v>35</v>
      </c>
      <c r="P27" s="7" t="s">
        <v>218</v>
      </c>
      <c r="Q27" s="7" t="s">
        <v>219</v>
      </c>
      <c r="R27" s="6" t="s">
        <v>88</v>
      </c>
      <c r="S27" s="6"/>
      <c r="T27" s="6"/>
    </row>
    <row r="28" customFormat="false" ht="46.25" hidden="false" customHeight="false" outlineLevel="0" collapsed="false">
      <c r="A28" s="4" t="s">
        <v>220</v>
      </c>
      <c r="B28" s="4" t="n">
        <v>12</v>
      </c>
      <c r="C28" s="5" t="n">
        <v>46336</v>
      </c>
      <c r="D28" s="4" t="s">
        <v>24</v>
      </c>
      <c r="E28" s="4" t="s">
        <v>53</v>
      </c>
      <c r="F28" s="4" t="s">
        <v>54</v>
      </c>
      <c r="G28" s="4" t="s">
        <v>221</v>
      </c>
      <c r="H28" s="4" t="s">
        <v>222</v>
      </c>
      <c r="I28" s="4" t="s">
        <v>118</v>
      </c>
      <c r="J28" s="4" t="s">
        <v>30</v>
      </c>
      <c r="K28" s="4" t="s">
        <v>31</v>
      </c>
      <c r="L28" s="4" t="s">
        <v>223</v>
      </c>
      <c r="M28" s="6"/>
      <c r="N28" s="4" t="s">
        <v>224</v>
      </c>
      <c r="O28" s="4" t="s">
        <v>61</v>
      </c>
      <c r="P28" s="4" t="s">
        <v>225</v>
      </c>
      <c r="Q28" s="4" t="s">
        <v>156</v>
      </c>
      <c r="R28" s="6" t="s">
        <v>88</v>
      </c>
      <c r="S28" s="6"/>
      <c r="T28" s="6"/>
    </row>
    <row r="29" customFormat="false" ht="35.05" hidden="false" customHeight="false" outlineLevel="0" collapsed="false">
      <c r="A29" s="7" t="s">
        <v>226</v>
      </c>
      <c r="B29" s="7" t="n">
        <v>12</v>
      </c>
      <c r="C29" s="8" t="n">
        <v>46339</v>
      </c>
      <c r="D29" s="7" t="s">
        <v>40</v>
      </c>
      <c r="E29" s="7" t="s">
        <v>77</v>
      </c>
      <c r="F29" s="7" t="s">
        <v>78</v>
      </c>
      <c r="G29" s="7" t="s">
        <v>227</v>
      </c>
      <c r="H29" s="7" t="s">
        <v>228</v>
      </c>
      <c r="I29" s="7" t="s">
        <v>229</v>
      </c>
      <c r="J29" s="7" t="s">
        <v>30</v>
      </c>
      <c r="K29" s="7" t="s">
        <v>31</v>
      </c>
      <c r="L29" s="7" t="s">
        <v>230</v>
      </c>
      <c r="M29" s="6"/>
      <c r="N29" s="7" t="s">
        <v>231</v>
      </c>
      <c r="O29" s="7" t="s">
        <v>85</v>
      </c>
      <c r="P29" s="7" t="s">
        <v>232</v>
      </c>
      <c r="Q29" s="7" t="s">
        <v>233</v>
      </c>
      <c r="R29" s="6" t="s">
        <v>88</v>
      </c>
      <c r="S29" s="6"/>
      <c r="T29" s="6"/>
    </row>
  </sheetData>
  <dataValidations count="2">
    <dataValidation allowBlank="true" errorStyle="stop" operator="between" showDropDown="false" showErrorMessage="false" showInputMessage="false" sqref="R6:R29" type="list">
      <formula1>"IDEA,SELECTED,DRAFT,AI_REVIEW,HUMAN_REVIEW,REVISION,APPROVED,SCHEDULED,PUBLISHED,ANALYSED,ARCHIVED"</formula1>
      <formula2>0</formula2>
    </dataValidation>
    <dataValidation allowBlank="true" errorStyle="stop" operator="between" showDropDown="false" showErrorMessage="false" showInputMessage="false" sqref="E6:E29" type="list">
      <formula1>"PrimeCode Explains,Tech for Business,Behind the Code,Build With PrimeCode,PrimeCode Insight,PrimeCode Journey,Digital Transformation in Qwaqwa,PrimeCode Services"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30"/>
    <col collapsed="false" customWidth="true" hidden="false" outlineLevel="0" max="4" min="4" style="0" width="20"/>
    <col collapsed="false" customWidth="true" hidden="false" outlineLevel="0" max="5" min="5" style="0" width="34"/>
    <col collapsed="false" customWidth="true" hidden="false" outlineLevel="0" max="6" min="6" style="0" width="12"/>
  </cols>
  <sheetData>
    <row r="1" customFormat="false" ht="17.35" hidden="false" customHeight="false" outlineLevel="0" collapsed="false">
      <c r="A1" s="1" t="s">
        <v>234</v>
      </c>
    </row>
    <row r="2" customFormat="false" ht="15" hidden="false" customHeight="false" outlineLevel="0" collapsed="false">
      <c r="A2" s="2" t="s">
        <v>235</v>
      </c>
    </row>
    <row r="4" customFormat="false" ht="15" hidden="false" customHeight="false" outlineLevel="0" collapsed="false">
      <c r="A4" s="9" t="s">
        <v>236</v>
      </c>
      <c r="B4" s="9" t="s">
        <v>237</v>
      </c>
      <c r="C4" s="9" t="s">
        <v>7</v>
      </c>
      <c r="D4" s="9" t="s">
        <v>8</v>
      </c>
      <c r="E4" s="9" t="s">
        <v>238</v>
      </c>
      <c r="F4" s="9" t="s">
        <v>239</v>
      </c>
    </row>
    <row r="5" customFormat="false" ht="15" hidden="false" customHeight="false" outlineLevel="0" collapsed="false">
      <c r="A5" s="4" t="n">
        <v>1</v>
      </c>
      <c r="B5" s="4" t="s">
        <v>240</v>
      </c>
      <c r="C5" s="4" t="s">
        <v>98</v>
      </c>
      <c r="D5" s="4" t="s">
        <v>99</v>
      </c>
      <c r="E5" s="6" t="s">
        <v>241</v>
      </c>
      <c r="F5" s="6" t="s">
        <v>242</v>
      </c>
    </row>
    <row r="6" customFormat="false" ht="15" hidden="false" customHeight="false" outlineLevel="0" collapsed="false">
      <c r="A6" s="4" t="n">
        <v>2</v>
      </c>
      <c r="B6" s="4" t="s">
        <v>243</v>
      </c>
      <c r="C6" s="4" t="s">
        <v>98</v>
      </c>
      <c r="D6" s="4" t="s">
        <v>99</v>
      </c>
      <c r="E6" s="6"/>
      <c r="F6" s="6"/>
    </row>
    <row r="7" customFormat="false" ht="15" hidden="false" customHeight="false" outlineLevel="0" collapsed="false">
      <c r="A7" s="4" t="n">
        <v>3</v>
      </c>
      <c r="B7" s="4" t="s">
        <v>244</v>
      </c>
      <c r="C7" s="4" t="s">
        <v>98</v>
      </c>
      <c r="D7" s="4" t="s">
        <v>99</v>
      </c>
      <c r="E7" s="6"/>
      <c r="F7" s="6"/>
    </row>
    <row r="8" customFormat="false" ht="15" hidden="false" customHeight="false" outlineLevel="0" collapsed="false">
      <c r="A8" s="4" t="n">
        <v>4</v>
      </c>
      <c r="B8" s="4" t="s">
        <v>245</v>
      </c>
      <c r="C8" s="4" t="s">
        <v>98</v>
      </c>
      <c r="D8" s="4" t="s">
        <v>99</v>
      </c>
      <c r="E8" s="6"/>
      <c r="F8" s="6"/>
    </row>
    <row r="9" customFormat="false" ht="15" hidden="false" customHeight="false" outlineLevel="0" collapsed="false">
      <c r="A9" s="4" t="n">
        <v>5</v>
      </c>
      <c r="B9" s="4" t="s">
        <v>246</v>
      </c>
      <c r="C9" s="4" t="s">
        <v>98</v>
      </c>
      <c r="D9" s="4" t="s">
        <v>99</v>
      </c>
      <c r="E9" s="6"/>
      <c r="F9" s="6"/>
    </row>
    <row r="10" customFormat="false" ht="15" hidden="false" customHeight="false" outlineLevel="0" collapsed="false">
      <c r="A10" s="4" t="n">
        <v>6</v>
      </c>
      <c r="B10" s="4" t="s">
        <v>247</v>
      </c>
      <c r="C10" s="4" t="s">
        <v>53</v>
      </c>
      <c r="D10" s="4" t="s">
        <v>54</v>
      </c>
      <c r="E10" s="6"/>
      <c r="F10" s="6"/>
    </row>
    <row r="11" customFormat="false" ht="15" hidden="false" customHeight="false" outlineLevel="0" collapsed="false">
      <c r="A11" s="4" t="n">
        <v>7</v>
      </c>
      <c r="B11" s="4" t="s">
        <v>248</v>
      </c>
      <c r="C11" s="4" t="s">
        <v>53</v>
      </c>
      <c r="D11" s="4" t="s">
        <v>54</v>
      </c>
      <c r="E11" s="6"/>
      <c r="F11" s="6"/>
    </row>
    <row r="12" customFormat="false" ht="15" hidden="false" customHeight="false" outlineLevel="0" collapsed="false">
      <c r="A12" s="4" t="n">
        <v>8</v>
      </c>
      <c r="B12" s="4" t="s">
        <v>249</v>
      </c>
      <c r="C12" s="4" t="s">
        <v>53</v>
      </c>
      <c r="D12" s="4" t="s">
        <v>54</v>
      </c>
      <c r="E12" s="6"/>
      <c r="F12" s="6"/>
    </row>
    <row r="13" customFormat="false" ht="15" hidden="false" customHeight="false" outlineLevel="0" collapsed="false">
      <c r="A13" s="4" t="n">
        <v>9</v>
      </c>
      <c r="B13" s="4" t="s">
        <v>250</v>
      </c>
      <c r="C13" s="4" t="s">
        <v>53</v>
      </c>
      <c r="D13" s="4" t="s">
        <v>54</v>
      </c>
      <c r="E13" s="6"/>
      <c r="F13" s="6"/>
    </row>
    <row r="14" customFormat="false" ht="15" hidden="false" customHeight="false" outlineLevel="0" collapsed="false">
      <c r="A14" s="4" t="n">
        <v>10</v>
      </c>
      <c r="B14" s="4" t="s">
        <v>251</v>
      </c>
      <c r="C14" s="4" t="s">
        <v>53</v>
      </c>
      <c r="D14" s="4" t="s">
        <v>54</v>
      </c>
      <c r="E14" s="6"/>
      <c r="F14" s="6"/>
    </row>
    <row r="15" customFormat="false" ht="15" hidden="false" customHeight="false" outlineLevel="0" collapsed="false">
      <c r="A15" s="4" t="n">
        <v>11</v>
      </c>
      <c r="B15" s="4" t="s">
        <v>252</v>
      </c>
      <c r="C15" s="4" t="s">
        <v>53</v>
      </c>
      <c r="D15" s="4" t="s">
        <v>54</v>
      </c>
      <c r="E15" s="6"/>
      <c r="F15" s="6"/>
    </row>
    <row r="16" customFormat="false" ht="15" hidden="false" customHeight="false" outlineLevel="0" collapsed="false">
      <c r="A16" s="4" t="n">
        <v>12</v>
      </c>
      <c r="B16" s="4" t="s">
        <v>253</v>
      </c>
      <c r="C16" s="4" t="s">
        <v>123</v>
      </c>
      <c r="D16" s="4" t="s">
        <v>123</v>
      </c>
      <c r="E16" s="6"/>
      <c r="F16" s="6"/>
    </row>
    <row r="17" customFormat="false" ht="15" hidden="false" customHeight="false" outlineLevel="0" collapsed="false">
      <c r="A17" s="4" t="n">
        <v>13</v>
      </c>
      <c r="B17" s="4" t="s">
        <v>254</v>
      </c>
      <c r="C17" s="4" t="s">
        <v>123</v>
      </c>
      <c r="D17" s="4" t="s">
        <v>123</v>
      </c>
      <c r="E17" s="6"/>
      <c r="F17" s="6"/>
    </row>
    <row r="18" customFormat="false" ht="15" hidden="false" customHeight="false" outlineLevel="0" collapsed="false">
      <c r="A18" s="4" t="n">
        <v>14</v>
      </c>
      <c r="B18" s="4" t="s">
        <v>255</v>
      </c>
      <c r="C18" s="4" t="s">
        <v>123</v>
      </c>
      <c r="D18" s="4" t="s">
        <v>123</v>
      </c>
      <c r="E18" s="6"/>
      <c r="F18" s="6"/>
    </row>
    <row r="19" customFormat="false" ht="15" hidden="false" customHeight="false" outlineLevel="0" collapsed="false">
      <c r="A19" s="4" t="n">
        <v>15</v>
      </c>
      <c r="B19" s="4" t="s">
        <v>256</v>
      </c>
      <c r="C19" s="4" t="s">
        <v>123</v>
      </c>
      <c r="D19" s="4" t="s">
        <v>123</v>
      </c>
      <c r="E19" s="6"/>
      <c r="F19" s="6"/>
    </row>
    <row r="20" customFormat="false" ht="15" hidden="false" customHeight="false" outlineLevel="0" collapsed="false">
      <c r="A20" s="4" t="n">
        <v>16</v>
      </c>
      <c r="B20" s="4" t="s">
        <v>257</v>
      </c>
      <c r="C20" s="4" t="s">
        <v>65</v>
      </c>
      <c r="D20" s="4" t="s">
        <v>66</v>
      </c>
      <c r="E20" s="6"/>
      <c r="F20" s="6"/>
    </row>
    <row r="21" customFormat="false" ht="15" hidden="false" customHeight="false" outlineLevel="0" collapsed="false">
      <c r="A21" s="4" t="n">
        <v>17</v>
      </c>
      <c r="B21" s="4" t="s">
        <v>258</v>
      </c>
      <c r="C21" s="4" t="s">
        <v>65</v>
      </c>
      <c r="D21" s="4" t="s">
        <v>66</v>
      </c>
      <c r="E21" s="6"/>
      <c r="F21" s="6"/>
    </row>
    <row r="22" customFormat="false" ht="15" hidden="false" customHeight="false" outlineLevel="0" collapsed="false">
      <c r="A22" s="4" t="n">
        <v>18</v>
      </c>
      <c r="B22" s="4" t="s">
        <v>259</v>
      </c>
      <c r="C22" s="4" t="s">
        <v>65</v>
      </c>
      <c r="D22" s="4" t="s">
        <v>66</v>
      </c>
      <c r="E22" s="6"/>
      <c r="F22" s="6"/>
    </row>
    <row r="23" customFormat="false" ht="15" hidden="false" customHeight="false" outlineLevel="0" collapsed="false">
      <c r="A23" s="4" t="n">
        <v>19</v>
      </c>
      <c r="B23" s="4" t="s">
        <v>260</v>
      </c>
      <c r="C23" s="4" t="s">
        <v>77</v>
      </c>
      <c r="D23" s="4" t="s">
        <v>78</v>
      </c>
      <c r="E23" s="6"/>
      <c r="F23" s="6"/>
    </row>
    <row r="24" customFormat="false" ht="15" hidden="false" customHeight="false" outlineLevel="0" collapsed="false">
      <c r="A24" s="4" t="n">
        <v>20</v>
      </c>
      <c r="B24" s="4" t="s">
        <v>261</v>
      </c>
      <c r="C24" s="4" t="s">
        <v>77</v>
      </c>
      <c r="D24" s="4" t="s">
        <v>78</v>
      </c>
      <c r="E24" s="6"/>
      <c r="F24" s="6"/>
    </row>
    <row r="25" customFormat="false" ht="15" hidden="false" customHeight="false" outlineLevel="0" collapsed="false">
      <c r="A25" s="4" t="n">
        <v>21</v>
      </c>
      <c r="B25" s="4" t="s">
        <v>262</v>
      </c>
      <c r="C25" s="4" t="s">
        <v>77</v>
      </c>
      <c r="D25" s="4" t="s">
        <v>78</v>
      </c>
      <c r="E25" s="6"/>
      <c r="F25" s="6"/>
    </row>
    <row r="26" customFormat="false" ht="15" hidden="false" customHeight="false" outlineLevel="0" collapsed="false">
      <c r="A26" s="4" t="n">
        <v>22</v>
      </c>
      <c r="B26" s="4" t="s">
        <v>263</v>
      </c>
      <c r="C26" s="4" t="s">
        <v>25</v>
      </c>
      <c r="D26" s="4" t="s">
        <v>26</v>
      </c>
      <c r="E26" s="6"/>
      <c r="F26" s="6"/>
    </row>
    <row r="27" customFormat="false" ht="15" hidden="false" customHeight="false" outlineLevel="0" collapsed="false">
      <c r="A27" s="4" t="n">
        <v>23</v>
      </c>
      <c r="B27" s="4" t="s">
        <v>264</v>
      </c>
      <c r="C27" s="4" t="s">
        <v>25</v>
      </c>
      <c r="D27" s="4" t="s">
        <v>26</v>
      </c>
      <c r="E27" s="6"/>
      <c r="F27" s="6"/>
    </row>
    <row r="28" customFormat="false" ht="15" hidden="false" customHeight="false" outlineLevel="0" collapsed="false">
      <c r="A28" s="4" t="n">
        <v>24</v>
      </c>
      <c r="B28" s="4" t="s">
        <v>265</v>
      </c>
      <c r="C28" s="4" t="s">
        <v>133</v>
      </c>
      <c r="D28" s="4" t="s">
        <v>134</v>
      </c>
      <c r="E28" s="6"/>
      <c r="F28" s="6"/>
    </row>
    <row r="29" customFormat="false" ht="15" hidden="false" customHeight="false" outlineLevel="0" collapsed="false">
      <c r="A29" s="4" t="n">
        <v>25</v>
      </c>
      <c r="B29" s="4" t="s">
        <v>266</v>
      </c>
      <c r="C29" s="4" t="s">
        <v>133</v>
      </c>
      <c r="D29" s="4" t="s">
        <v>134</v>
      </c>
      <c r="E29" s="6"/>
      <c r="F29" s="6"/>
    </row>
    <row r="30" customFormat="false" ht="15" hidden="false" customHeight="false" outlineLevel="0" collapsed="false">
      <c r="A30" s="4" t="n">
        <v>26</v>
      </c>
      <c r="B30" s="4" t="s">
        <v>267</v>
      </c>
      <c r="C30" s="4" t="s">
        <v>133</v>
      </c>
      <c r="D30" s="4" t="s">
        <v>134</v>
      </c>
      <c r="E30" s="6"/>
      <c r="F30" s="6"/>
    </row>
    <row r="31" customFormat="false" ht="15" hidden="false" customHeight="false" outlineLevel="0" collapsed="false">
      <c r="A31" s="4" t="n">
        <v>27</v>
      </c>
      <c r="B31" s="4" t="s">
        <v>268</v>
      </c>
      <c r="C31" s="4" t="s">
        <v>41</v>
      </c>
      <c r="D31" s="4" t="s">
        <v>42</v>
      </c>
      <c r="E31" s="6"/>
      <c r="F31" s="6"/>
    </row>
    <row r="32" customFormat="false" ht="15" hidden="false" customHeight="false" outlineLevel="0" collapsed="false">
      <c r="A32" s="4" t="n">
        <v>28</v>
      </c>
      <c r="B32" s="4" t="s">
        <v>269</v>
      </c>
      <c r="C32" s="4" t="s">
        <v>41</v>
      </c>
      <c r="D32" s="4" t="s">
        <v>42</v>
      </c>
      <c r="E32" s="6"/>
      <c r="F32" s="6"/>
    </row>
    <row r="34" customFormat="false" ht="15" hidden="false" customHeight="false" outlineLevel="0" collapsed="false">
      <c r="B34" s="2"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0"/>
    <col collapsed="false" customWidth="true" hidden="false" outlineLevel="0" max="3" min="3" style="0" width="13"/>
    <col collapsed="false" customWidth="true" hidden="false" outlineLevel="0" max="5" min="4" style="0" width="10"/>
    <col collapsed="false" customWidth="true" hidden="false" outlineLevel="0" max="6" min="6" style="0" width="9"/>
    <col collapsed="false" customWidth="true" hidden="false" outlineLevel="0" max="7" min="7" style="0" width="11"/>
    <col collapsed="false" customWidth="true" hidden="false" outlineLevel="0" max="9" min="8" style="0" width="9"/>
    <col collapsed="false" customWidth="true" hidden="false" outlineLevel="0" max="10" min="10" style="0" width="13"/>
    <col collapsed="false" customWidth="true" hidden="false" outlineLevel="0" max="11" min="11" style="0" width="16"/>
    <col collapsed="false" customWidth="true" hidden="false" outlineLevel="0" max="12" min="12" style="0" width="15"/>
    <col collapsed="false" customWidth="true" hidden="false" outlineLevel="0" max="13" min="13" style="0" width="44"/>
  </cols>
  <sheetData>
    <row r="1" customFormat="false" ht="17.35" hidden="false" customHeight="false" outlineLevel="0" collapsed="false">
      <c r="A1" s="1" t="s">
        <v>271</v>
      </c>
    </row>
    <row r="2" customFormat="false" ht="15" hidden="false" customHeight="false" outlineLevel="0" collapsed="false">
      <c r="A2" s="2" t="s">
        <v>272</v>
      </c>
    </row>
    <row r="4" customFormat="false" ht="30" hidden="false" customHeight="true" outlineLevel="0" collapsed="false">
      <c r="A4" s="3" t="s">
        <v>3</v>
      </c>
      <c r="B4" s="3" t="s">
        <v>9</v>
      </c>
      <c r="C4" s="3" t="s">
        <v>5</v>
      </c>
      <c r="D4" s="3" t="s">
        <v>13</v>
      </c>
      <c r="E4" s="3" t="s">
        <v>273</v>
      </c>
      <c r="F4" s="3" t="s">
        <v>274</v>
      </c>
      <c r="G4" s="3" t="s">
        <v>275</v>
      </c>
      <c r="H4" s="3" t="s">
        <v>276</v>
      </c>
      <c r="I4" s="3" t="s">
        <v>277</v>
      </c>
      <c r="J4" s="3" t="s">
        <v>278</v>
      </c>
      <c r="K4" s="3" t="s">
        <v>279</v>
      </c>
      <c r="L4" s="3" t="s">
        <v>280</v>
      </c>
      <c r="M4" s="3" t="s">
        <v>281</v>
      </c>
    </row>
    <row r="5" customFormat="false" ht="15" hidden="false" customHeight="false" outlineLevel="0" collapsed="false">
      <c r="A5" s="10" t="s">
        <v>23</v>
      </c>
      <c r="B5" s="11" t="str">
        <f aca="false">IFERROR(INDEX('Content Calendar'!$G$6:$G$29,MATCH($A5,'Content Calendar'!$A$6:$A$29,0)),"")</f>
        <v>PrimeCode is building again</v>
      </c>
      <c r="C5" s="12" t="n">
        <f aca="false">IFERROR(INDEX('Content Calendar'!$C$6:$C$29,MATCH($A5,'Content Calendar'!$A$6:$A$29,0)),"")</f>
        <v>46259</v>
      </c>
      <c r="D5" s="11" t="str">
        <f aca="false">IFERROR(INDEX('Content Calendar'!$K$6:$K$29,MATCH($A5,'Content Calendar'!$A$6:$A$29,0)),"")</f>
        <v>IG + FB</v>
      </c>
      <c r="E5" s="13"/>
      <c r="F5" s="13"/>
      <c r="G5" s="13"/>
      <c r="H5" s="13"/>
      <c r="I5" s="13"/>
      <c r="J5" s="13"/>
      <c r="K5" s="10" t="n">
        <f aca="false">SUM(F5:J5)</f>
        <v>0</v>
      </c>
      <c r="L5" s="14" t="str">
        <f aca="false">IFERROR(K5/E5,"")</f>
        <v/>
      </c>
      <c r="M5" s="6"/>
    </row>
    <row r="6" customFormat="false" ht="15" hidden="false" customHeight="false" outlineLevel="0" collapsed="false">
      <c r="A6" s="10" t="s">
        <v>39</v>
      </c>
      <c r="B6" s="11" t="str">
        <f aca="false">IFERROR(INDEX('Content Calendar'!$G$6:$G$29,MATCH($A6,'Content Calendar'!$A$6:$A$29,0)),"")</f>
        <v>What PrimeCode Solutions actually does</v>
      </c>
      <c r="C6" s="12" t="n">
        <f aca="false">IFERROR(INDEX('Content Calendar'!$C$6:$C$29,MATCH($A6,'Content Calendar'!$A$6:$A$29,0)),"")</f>
        <v>46262</v>
      </c>
      <c r="D6" s="11" t="str">
        <f aca="false">IFERROR(INDEX('Content Calendar'!$K$6:$K$29,MATCH($A6,'Content Calendar'!$A$6:$A$29,0)),"")</f>
        <v>IG + FB</v>
      </c>
      <c r="E6" s="13"/>
      <c r="F6" s="13"/>
      <c r="G6" s="13"/>
      <c r="H6" s="13"/>
      <c r="I6" s="13"/>
      <c r="J6" s="13"/>
      <c r="K6" s="10" t="n">
        <f aca="false">SUM(F6:J6)</f>
        <v>0</v>
      </c>
      <c r="L6" s="14" t="str">
        <f aca="false">IFERROR(K6/E6,"")</f>
        <v/>
      </c>
      <c r="M6" s="6"/>
    </row>
    <row r="7" customFormat="false" ht="15" hidden="false" customHeight="false" outlineLevel="0" collapsed="false">
      <c r="A7" s="10" t="s">
        <v>52</v>
      </c>
      <c r="B7" s="11" t="str">
        <f aca="false">IFERROR(INDEX('Content Calendar'!$G$6:$G$29,MATCH($A7,'Content Calendar'!$A$6:$A$29,0)),"")</f>
        <v>Does your business actually need a website?</v>
      </c>
      <c r="C7" s="12" t="n">
        <f aca="false">IFERROR(INDEX('Content Calendar'!$C$6:$C$29,MATCH($A7,'Content Calendar'!$A$6:$A$29,0)),"")</f>
        <v>46266</v>
      </c>
      <c r="D7" s="11" t="str">
        <f aca="false">IFERROR(INDEX('Content Calendar'!$K$6:$K$29,MATCH($A7,'Content Calendar'!$A$6:$A$29,0)),"")</f>
        <v>IG + FB</v>
      </c>
      <c r="E7" s="13"/>
      <c r="F7" s="13"/>
      <c r="G7" s="13"/>
      <c r="H7" s="13"/>
      <c r="I7" s="13"/>
      <c r="J7" s="13"/>
      <c r="K7" s="10" t="n">
        <f aca="false">SUM(F7:J7)</f>
        <v>0</v>
      </c>
      <c r="L7" s="14" t="str">
        <f aca="false">IFERROR(K7/E7,"")</f>
        <v/>
      </c>
      <c r="M7" s="6"/>
    </row>
    <row r="8" customFormat="false" ht="15" hidden="false" customHeight="false" outlineLevel="0" collapsed="false">
      <c r="A8" s="10" t="s">
        <v>64</v>
      </c>
      <c r="B8" s="11" t="str">
        <f aca="false">IFERROR(INDEX('Content Calendar'!$G$6:$G$29,MATCH($A8,'Content Calendar'!$A$6:$A$29,0)),"")</f>
        <v>Behind the Build: Thiboloha Special School</v>
      </c>
      <c r="C8" s="12" t="n">
        <f aca="false">IFERROR(INDEX('Content Calendar'!$C$6:$C$29,MATCH($A8,'Content Calendar'!$A$6:$A$29,0)),"")</f>
        <v>46269</v>
      </c>
      <c r="D8" s="11" t="str">
        <f aca="false">IFERROR(INDEX('Content Calendar'!$K$6:$K$29,MATCH($A8,'Content Calendar'!$A$6:$A$29,0)),"")</f>
        <v>IG + FB</v>
      </c>
      <c r="E8" s="13"/>
      <c r="F8" s="13"/>
      <c r="G8" s="13"/>
      <c r="H8" s="13"/>
      <c r="I8" s="13"/>
      <c r="J8" s="13"/>
      <c r="K8" s="10" t="n">
        <f aca="false">SUM(F8:J8)</f>
        <v>0</v>
      </c>
      <c r="L8" s="14" t="str">
        <f aca="false">IFERROR(K8/E8,"")</f>
        <v/>
      </c>
      <c r="M8" s="6"/>
    </row>
    <row r="9" customFormat="false" ht="15" hidden="false" customHeight="false" outlineLevel="0" collapsed="false">
      <c r="A9" s="10" t="s">
        <v>76</v>
      </c>
      <c r="B9" s="11" t="str">
        <f aca="false">IFERROR(INDEX('Content Calendar'!$G$6:$G$29,MATCH($A9,'Content Calendar'!$A$6:$A$29,0)),"")</f>
        <v>Your business probably doesn't need an app</v>
      </c>
      <c r="C9" s="12" t="n">
        <f aca="false">IFERROR(INDEX('Content Calendar'!$C$6:$C$29,MATCH($A9,'Content Calendar'!$A$6:$A$29,0)),"")</f>
        <v>46273</v>
      </c>
      <c r="D9" s="11" t="str">
        <f aca="false">IFERROR(INDEX('Content Calendar'!$K$6:$K$29,MATCH($A9,'Content Calendar'!$A$6:$A$29,0)),"")</f>
        <v>IG + FB</v>
      </c>
      <c r="E9" s="13"/>
      <c r="F9" s="13"/>
      <c r="G9" s="13"/>
      <c r="H9" s="13"/>
      <c r="I9" s="13"/>
      <c r="J9" s="13"/>
      <c r="K9" s="10" t="n">
        <f aca="false">SUM(F9:J9)</f>
        <v>0</v>
      </c>
      <c r="L9" s="14" t="str">
        <f aca="false">IFERROR(K9/E9,"")</f>
        <v/>
      </c>
      <c r="M9" s="6"/>
    </row>
    <row r="10" customFormat="false" ht="15" hidden="false" customHeight="false" outlineLevel="0" collapsed="false">
      <c r="A10" s="10" t="s">
        <v>89</v>
      </c>
      <c r="B10" s="11" t="str">
        <f aca="false">IFERROR(INDEX('Content Calendar'!$G$6:$G$29,MATCH($A10,'Content Calendar'!$A$6:$A$29,0)),"")</f>
        <v>From idea to working system: how a PrimeCode project starts</v>
      </c>
      <c r="C10" s="12" t="n">
        <f aca="false">IFERROR(INDEX('Content Calendar'!$C$6:$C$29,MATCH($A10,'Content Calendar'!$A$6:$A$29,0)),"")</f>
        <v>46276</v>
      </c>
      <c r="D10" s="11" t="str">
        <f aca="false">IFERROR(INDEX('Content Calendar'!$K$6:$K$29,MATCH($A10,'Content Calendar'!$A$6:$A$29,0)),"")</f>
        <v>IG + FB</v>
      </c>
      <c r="E10" s="13"/>
      <c r="F10" s="13"/>
      <c r="G10" s="13"/>
      <c r="H10" s="13"/>
      <c r="I10" s="13"/>
      <c r="J10" s="13"/>
      <c r="K10" s="10" t="n">
        <f aca="false">SUM(F10:J10)</f>
        <v>0</v>
      </c>
      <c r="L10" s="14" t="str">
        <f aca="false">IFERROR(K10/E10,"")</f>
        <v/>
      </c>
      <c r="M10" s="6"/>
    </row>
    <row r="11" customFormat="false" ht="15" hidden="false" customHeight="false" outlineLevel="0" collapsed="false">
      <c r="A11" s="10" t="s">
        <v>97</v>
      </c>
      <c r="B11" s="11" t="str">
        <f aca="false">IFERROR(INDEX('Content Calendar'!$G$6:$G$29,MATCH($A11,'Content Calendar'!$A$6:$A$29,0)),"")</f>
        <v>What is an API? (explained without the jargon)</v>
      </c>
      <c r="C11" s="12" t="n">
        <f aca="false">IFERROR(INDEX('Content Calendar'!$C$6:$C$29,MATCH($A11,'Content Calendar'!$A$6:$A$29,0)),"")</f>
        <v>46280</v>
      </c>
      <c r="D11" s="11" t="str">
        <f aca="false">IFERROR(INDEX('Content Calendar'!$K$6:$K$29,MATCH($A11,'Content Calendar'!$A$6:$A$29,0)),"")</f>
        <v>IG + FB</v>
      </c>
      <c r="E11" s="13"/>
      <c r="F11" s="13"/>
      <c r="G11" s="13"/>
      <c r="H11" s="13"/>
      <c r="I11" s="13"/>
      <c r="J11" s="13"/>
      <c r="K11" s="10" t="n">
        <f aca="false">SUM(F11:J11)</f>
        <v>0</v>
      </c>
      <c r="L11" s="14" t="str">
        <f aca="false">IFERROR(K11/E11,"")</f>
        <v/>
      </c>
      <c r="M11" s="6"/>
    </row>
    <row r="12" customFormat="false" ht="15" hidden="false" customHeight="false" outlineLevel="0" collapsed="false">
      <c r="A12" s="10" t="s">
        <v>108</v>
      </c>
      <c r="B12" s="11" t="str">
        <f aca="false">IFERROR(INDEX('Content Calendar'!$G$6:$G$29,MATCH($A12,'Content Calendar'!$A$6:$A$29,0)),"")</f>
        <v>Why I started PrimeCode Solutions</v>
      </c>
      <c r="C12" s="12" t="n">
        <f aca="false">IFERROR(INDEX('Content Calendar'!$C$6:$C$29,MATCH($A12,'Content Calendar'!$A$6:$A$29,0)),"")</f>
        <v>46283</v>
      </c>
      <c r="D12" s="11" t="str">
        <f aca="false">IFERROR(INDEX('Content Calendar'!$K$6:$K$29,MATCH($A12,'Content Calendar'!$A$6:$A$29,0)),"")</f>
        <v>IG + FB</v>
      </c>
      <c r="E12" s="13"/>
      <c r="F12" s="13"/>
      <c r="G12" s="13"/>
      <c r="H12" s="13"/>
      <c r="I12" s="13"/>
      <c r="J12" s="13"/>
      <c r="K12" s="10" t="n">
        <f aca="false">SUM(F12:J12)</f>
        <v>0</v>
      </c>
      <c r="L12" s="14" t="str">
        <f aca="false">IFERROR(K12/E12,"")</f>
        <v/>
      </c>
      <c r="M12" s="6"/>
    </row>
    <row r="13" customFormat="false" ht="15" hidden="false" customHeight="false" outlineLevel="0" collapsed="false">
      <c r="A13" s="10" t="s">
        <v>115</v>
      </c>
      <c r="B13" s="11" t="str">
        <f aca="false">IFERROR(INDEX('Content Calendar'!$G$6:$G$29,MATCH($A13,'Content Calendar'!$A$6:$A$29,0)),"")</f>
        <v>Still taking bookings on WhatsApp?</v>
      </c>
      <c r="C13" s="12" t="n">
        <f aca="false">IFERROR(INDEX('Content Calendar'!$C$6:$C$29,MATCH($A13,'Content Calendar'!$A$6:$A$29,0)),"")</f>
        <v>46287</v>
      </c>
      <c r="D13" s="11" t="str">
        <f aca="false">IFERROR(INDEX('Content Calendar'!$K$6:$K$29,MATCH($A13,'Content Calendar'!$A$6:$A$29,0)),"")</f>
        <v>IG + FB</v>
      </c>
      <c r="E13" s="13"/>
      <c r="F13" s="13"/>
      <c r="G13" s="13"/>
      <c r="H13" s="13"/>
      <c r="I13" s="13"/>
      <c r="J13" s="13"/>
      <c r="K13" s="10" t="n">
        <f aca="false">SUM(F13:J13)</f>
        <v>0</v>
      </c>
      <c r="L13" s="14" t="str">
        <f aca="false">IFERROR(K13/E13,"")</f>
        <v/>
      </c>
      <c r="M13" s="6"/>
    </row>
    <row r="14" customFormat="false" ht="15" hidden="false" customHeight="false" outlineLevel="0" collapsed="false">
      <c r="A14" s="10" t="s">
        <v>122</v>
      </c>
      <c r="B14" s="11" t="str">
        <f aca="false">IFERROR(INDEX('Content Calendar'!$G$6:$G$29,MATCH($A14,'Content Calendar'!$A$6:$A$29,0)),"")</f>
        <v>Behind the Code: what happens when you click 'Submit'</v>
      </c>
      <c r="C14" s="12" t="n">
        <f aca="false">IFERROR(INDEX('Content Calendar'!$C$6:$C$29,MATCH($A14,'Content Calendar'!$A$6:$A$29,0)),"")</f>
        <v>46290</v>
      </c>
      <c r="D14" s="11" t="str">
        <f aca="false">IFERROR(INDEX('Content Calendar'!$K$6:$K$29,MATCH($A14,'Content Calendar'!$A$6:$A$29,0)),"")</f>
        <v>IG + FB</v>
      </c>
      <c r="E14" s="13"/>
      <c r="F14" s="13"/>
      <c r="G14" s="13"/>
      <c r="H14" s="13"/>
      <c r="I14" s="13"/>
      <c r="J14" s="13"/>
      <c r="K14" s="10" t="n">
        <f aca="false">SUM(F14:J14)</f>
        <v>0</v>
      </c>
      <c r="L14" s="14" t="str">
        <f aca="false">IFERROR(K14/E14,"")</f>
        <v/>
      </c>
      <c r="M14" s="6"/>
    </row>
    <row r="15" customFormat="false" ht="15" hidden="false" customHeight="false" outlineLevel="0" collapsed="false">
      <c r="A15" s="10" t="s">
        <v>132</v>
      </c>
      <c r="B15" s="11" t="str">
        <f aca="false">IFERROR(INDEX('Content Calendar'!$G$6:$G$29,MATCH($A15,'Content Calendar'!$A$6:$A$29,0)),"")</f>
        <v>What if your local gym had online membership?</v>
      </c>
      <c r="C15" s="12" t="n">
        <f aca="false">IFERROR(INDEX('Content Calendar'!$C$6:$C$29,MATCH($A15,'Content Calendar'!$A$6:$A$29,0)),"")</f>
        <v>46294</v>
      </c>
      <c r="D15" s="11" t="str">
        <f aca="false">IFERROR(INDEX('Content Calendar'!$K$6:$K$29,MATCH($A15,'Content Calendar'!$A$6:$A$29,0)),"")</f>
        <v>IG + FB</v>
      </c>
      <c r="E15" s="13"/>
      <c r="F15" s="13"/>
      <c r="G15" s="13"/>
      <c r="H15" s="13"/>
      <c r="I15" s="13"/>
      <c r="J15" s="13"/>
      <c r="K15" s="10" t="n">
        <f aca="false">SUM(F15:J15)</f>
        <v>0</v>
      </c>
      <c r="L15" s="14" t="str">
        <f aca="false">IFERROR(K15/E15,"")</f>
        <v/>
      </c>
      <c r="M15" s="6"/>
    </row>
    <row r="16" customFormat="false" ht="15" hidden="false" customHeight="false" outlineLevel="0" collapsed="false">
      <c r="A16" s="10" t="s">
        <v>143</v>
      </c>
      <c r="B16" s="11" t="str">
        <f aca="false">IFERROR(INDEX('Content Calendar'!$G$6:$G$29,MATCH($A16,'Content Calendar'!$A$6:$A$29,0)),"")</f>
        <v>Behind the Build: BZ Fitness and Wellness</v>
      </c>
      <c r="C16" s="12" t="n">
        <f aca="false">IFERROR(INDEX('Content Calendar'!$C$6:$C$29,MATCH($A16,'Content Calendar'!$A$6:$A$29,0)),"")</f>
        <v>46297</v>
      </c>
      <c r="D16" s="11" t="str">
        <f aca="false">IFERROR(INDEX('Content Calendar'!$K$6:$K$29,MATCH($A16,'Content Calendar'!$A$6:$A$29,0)),"")</f>
        <v>IG + FB</v>
      </c>
      <c r="E16" s="13"/>
      <c r="F16" s="13"/>
      <c r="G16" s="13"/>
      <c r="H16" s="13"/>
      <c r="I16" s="13"/>
      <c r="J16" s="13"/>
      <c r="K16" s="10" t="n">
        <f aca="false">SUM(F16:J16)</f>
        <v>0</v>
      </c>
      <c r="L16" s="14" t="str">
        <f aca="false">IFERROR(K16/E16,"")</f>
        <v/>
      </c>
      <c r="M16" s="6"/>
    </row>
    <row r="17" customFormat="false" ht="15" hidden="false" customHeight="false" outlineLevel="0" collapsed="false">
      <c r="A17" s="10" t="s">
        <v>150</v>
      </c>
      <c r="B17" s="11" t="str">
        <f aca="false">IFERROR(INDEX('Content Calendar'!$G$6:$G$29,MATCH($A17,'Content Calendar'!$A$6:$A$29,0)),"")</f>
        <v>When a spreadsheet stops being enough</v>
      </c>
      <c r="C17" s="12" t="n">
        <f aca="false">IFERROR(INDEX('Content Calendar'!$C$6:$C$29,MATCH($A17,'Content Calendar'!$A$6:$A$29,0)),"")</f>
        <v>46301</v>
      </c>
      <c r="D17" s="11" t="str">
        <f aca="false">IFERROR(INDEX('Content Calendar'!$K$6:$K$29,MATCH($A17,'Content Calendar'!$A$6:$A$29,0)),"")</f>
        <v>IG + FB</v>
      </c>
      <c r="E17" s="13"/>
      <c r="F17" s="13"/>
      <c r="G17" s="13"/>
      <c r="H17" s="13"/>
      <c r="I17" s="13"/>
      <c r="J17" s="13"/>
      <c r="K17" s="10" t="n">
        <f aca="false">SUM(F17:J17)</f>
        <v>0</v>
      </c>
      <c r="L17" s="14" t="str">
        <f aca="false">IFERROR(K17/E17,"")</f>
        <v/>
      </c>
      <c r="M17" s="6"/>
    </row>
    <row r="18" customFormat="false" ht="15" hidden="false" customHeight="false" outlineLevel="0" collapsed="false">
      <c r="A18" s="10" t="s">
        <v>157</v>
      </c>
      <c r="B18" s="11" t="str">
        <f aca="false">IFERROR(INDEX('Content Calendar'!$G$6:$G$29,MATCH($A18,'Content Calendar'!$A$6:$A$29,0)),"")</f>
        <v>Behind the Code: how we design a database before writing any code</v>
      </c>
      <c r="C18" s="12" t="n">
        <f aca="false">IFERROR(INDEX('Content Calendar'!$C$6:$C$29,MATCH($A18,'Content Calendar'!$A$6:$A$29,0)),"")</f>
        <v>46304</v>
      </c>
      <c r="D18" s="11" t="str">
        <f aca="false">IFERROR(INDEX('Content Calendar'!$K$6:$K$29,MATCH($A18,'Content Calendar'!$A$6:$A$29,0)),"")</f>
        <v>IG + FB</v>
      </c>
      <c r="E18" s="13"/>
      <c r="F18" s="13"/>
      <c r="G18" s="13"/>
      <c r="H18" s="13"/>
      <c r="I18" s="13"/>
      <c r="J18" s="13"/>
      <c r="K18" s="10" t="n">
        <f aca="false">SUM(F18:J18)</f>
        <v>0</v>
      </c>
      <c r="L18" s="14" t="str">
        <f aca="false">IFERROR(K18/E18,"")</f>
        <v/>
      </c>
      <c r="M18" s="6"/>
    </row>
    <row r="19" customFormat="false" ht="15" hidden="false" customHeight="false" outlineLevel="0" collapsed="false">
      <c r="A19" s="10" t="s">
        <v>165</v>
      </c>
      <c r="B19" s="11" t="str">
        <f aca="false">IFERROR(INDEX('Content Calendar'!$G$6:$G$29,MATCH($A19,'Content Calendar'!$A$6:$A$29,0)),"")</f>
        <v>Website vs web application — what's the difference?</v>
      </c>
      <c r="C19" s="12" t="n">
        <f aca="false">IFERROR(INDEX('Content Calendar'!$C$6:$C$29,MATCH($A19,'Content Calendar'!$A$6:$A$29,0)),"")</f>
        <v>46308</v>
      </c>
      <c r="D19" s="11" t="str">
        <f aca="false">IFERROR(INDEX('Content Calendar'!$K$6:$K$29,MATCH($A19,'Content Calendar'!$A$6:$A$29,0)),"")</f>
        <v>IG + FB</v>
      </c>
      <c r="E19" s="13"/>
      <c r="F19" s="13"/>
      <c r="G19" s="13"/>
      <c r="H19" s="13"/>
      <c r="I19" s="13"/>
      <c r="J19" s="13"/>
      <c r="K19" s="10" t="n">
        <f aca="false">SUM(F19:J19)</f>
        <v>0</v>
      </c>
      <c r="L19" s="14" t="str">
        <f aca="false">IFERROR(K19/E19,"")</f>
        <v/>
      </c>
      <c r="M19" s="6"/>
    </row>
    <row r="20" customFormat="false" ht="15" hidden="false" customHeight="false" outlineLevel="0" collapsed="false">
      <c r="A20" s="10" t="s">
        <v>172</v>
      </c>
      <c r="B20" s="11" t="str">
        <f aca="false">IFERROR(INDEX('Content Calendar'!$G$6:$G$29,MATCH($A20,'Content Calendar'!$A$6:$A$29,0)),"")</f>
        <v>Behind the Build: Deliwe Legacy</v>
      </c>
      <c r="C20" s="12" t="n">
        <f aca="false">IFERROR(INDEX('Content Calendar'!$C$6:$C$29,MATCH($A20,'Content Calendar'!$A$6:$A$29,0)),"")</f>
        <v>46311</v>
      </c>
      <c r="D20" s="11" t="str">
        <f aca="false">IFERROR(INDEX('Content Calendar'!$K$6:$K$29,MATCH($A20,'Content Calendar'!$A$6:$A$29,0)),"")</f>
        <v>IG + FB</v>
      </c>
      <c r="E20" s="13"/>
      <c r="F20" s="13"/>
      <c r="G20" s="13"/>
      <c r="H20" s="13"/>
      <c r="I20" s="13"/>
      <c r="J20" s="13"/>
      <c r="K20" s="10" t="n">
        <f aca="false">SUM(F20:J20)</f>
        <v>0</v>
      </c>
      <c r="L20" s="14" t="str">
        <f aca="false">IFERROR(K20/E20,"")</f>
        <v/>
      </c>
      <c r="M20" s="6"/>
    </row>
    <row r="21" customFormat="false" ht="15" hidden="false" customHeight="false" outlineLevel="0" collapsed="false">
      <c r="A21" s="10" t="s">
        <v>180</v>
      </c>
      <c r="B21" s="11" t="str">
        <f aca="false">IFERROR(INDEX('Content Calendar'!$G$6:$G$29,MATCH($A21,'Content Calendar'!$A$6:$A$29,0)),"")</f>
        <v>Your business should own its domain and email</v>
      </c>
      <c r="C21" s="12" t="n">
        <f aca="false">IFERROR(INDEX('Content Calendar'!$C$6:$C$29,MATCH($A21,'Content Calendar'!$A$6:$A$29,0)),"")</f>
        <v>46315</v>
      </c>
      <c r="D21" s="11" t="str">
        <f aca="false">IFERROR(INDEX('Content Calendar'!$K$6:$K$29,MATCH($A21,'Content Calendar'!$A$6:$A$29,0)),"")</f>
        <v>IG + FB</v>
      </c>
      <c r="E21" s="13"/>
      <c r="F21" s="13"/>
      <c r="G21" s="13"/>
      <c r="H21" s="13"/>
      <c r="I21" s="13"/>
      <c r="J21" s="13"/>
      <c r="K21" s="10" t="n">
        <f aca="false">SUM(F21:J21)</f>
        <v>0</v>
      </c>
      <c r="L21" s="14" t="str">
        <f aca="false">IFERROR(K21/E21,"")</f>
        <v/>
      </c>
      <c r="M21" s="6"/>
    </row>
    <row r="22" customFormat="false" ht="15" hidden="false" customHeight="false" outlineLevel="0" collapsed="false">
      <c r="A22" s="10" t="s">
        <v>187</v>
      </c>
      <c r="B22" s="11" t="str">
        <f aca="false">IFERROR(INDEX('Content Calendar'!$G$6:$G$29,MATCH($A22,'Content Calendar'!$A$6:$A$29,0)),"")</f>
        <v>5 things a Qwaqwa business could automate this year</v>
      </c>
      <c r="C22" s="12" t="n">
        <f aca="false">IFERROR(INDEX('Content Calendar'!$C$6:$C$29,MATCH($A22,'Content Calendar'!$A$6:$A$29,0)),"")</f>
        <v>46318</v>
      </c>
      <c r="D22" s="11" t="str">
        <f aca="false">IFERROR(INDEX('Content Calendar'!$K$6:$K$29,MATCH($A22,'Content Calendar'!$A$6:$A$29,0)),"")</f>
        <v>IG + FB</v>
      </c>
      <c r="E22" s="13"/>
      <c r="F22" s="13"/>
      <c r="G22" s="13"/>
      <c r="H22" s="13"/>
      <c r="I22" s="13"/>
      <c r="J22" s="13"/>
      <c r="K22" s="10" t="n">
        <f aca="false">SUM(F22:J22)</f>
        <v>0</v>
      </c>
      <c r="L22" s="14" t="str">
        <f aca="false">IFERROR(K22/E22,"")</f>
        <v/>
      </c>
      <c r="M22" s="6"/>
    </row>
    <row r="23" customFormat="false" ht="15" hidden="false" customHeight="false" outlineLevel="0" collapsed="false">
      <c r="A23" s="10" t="s">
        <v>194</v>
      </c>
      <c r="B23" s="11" t="str">
        <f aca="false">IFERROR(INDEX('Content Calendar'!$G$6:$G$29,MATCH($A23,'Content Calendar'!$A$6:$A$29,0)),"")</f>
        <v>Why your website has to work on a cheap phone and a slow connection</v>
      </c>
      <c r="C23" s="12" t="n">
        <f aca="false">IFERROR(INDEX('Content Calendar'!$C$6:$C$29,MATCH($A23,'Content Calendar'!$A$6:$A$29,0)),"")</f>
        <v>46322</v>
      </c>
      <c r="D23" s="11" t="str">
        <f aca="false">IFERROR(INDEX('Content Calendar'!$K$6:$K$29,MATCH($A23,'Content Calendar'!$A$6:$A$29,0)),"")</f>
        <v>IG + FB</v>
      </c>
      <c r="E23" s="13"/>
      <c r="F23" s="13"/>
      <c r="G23" s="13"/>
      <c r="H23" s="13"/>
      <c r="I23" s="13"/>
      <c r="J23" s="13"/>
      <c r="K23" s="10" t="n">
        <f aca="false">SUM(F23:J23)</f>
        <v>0</v>
      </c>
      <c r="L23" s="14" t="str">
        <f aca="false">IFERROR(K23/E23,"")</f>
        <v/>
      </c>
      <c r="M23" s="6"/>
    </row>
    <row r="24" customFormat="false" ht="15" hidden="false" customHeight="false" outlineLevel="0" collapsed="false">
      <c r="A24" s="10" t="s">
        <v>201</v>
      </c>
      <c r="B24" s="11" t="str">
        <f aca="false">IFERROR(INDEX('Content Calendar'!$G$6:$G$29,MATCH($A24,'Content Calendar'!$A$6:$A$29,0)),"")</f>
        <v>Behind the Code: how we make sites load fast on slow connections</v>
      </c>
      <c r="C24" s="12" t="n">
        <f aca="false">IFERROR(INDEX('Content Calendar'!$C$6:$C$29,MATCH($A24,'Content Calendar'!$A$6:$A$29,0)),"")</f>
        <v>46325</v>
      </c>
      <c r="D24" s="11" t="str">
        <f aca="false">IFERROR(INDEX('Content Calendar'!$K$6:$K$29,MATCH($A24,'Content Calendar'!$A$6:$A$29,0)),"")</f>
        <v>IG + FB</v>
      </c>
      <c r="E24" s="13"/>
      <c r="F24" s="13"/>
      <c r="G24" s="13"/>
      <c r="H24" s="13"/>
      <c r="I24" s="13"/>
      <c r="J24" s="13"/>
      <c r="K24" s="10" t="n">
        <f aca="false">SUM(F24:J24)</f>
        <v>0</v>
      </c>
      <c r="L24" s="14" t="str">
        <f aca="false">IFERROR(K24/E24,"")</f>
        <v/>
      </c>
      <c r="M24" s="6"/>
    </row>
    <row r="25" customFormat="false" ht="15" hidden="false" customHeight="false" outlineLevel="0" collapsed="false">
      <c r="A25" s="10" t="s">
        <v>207</v>
      </c>
      <c r="B25" s="11" t="str">
        <f aca="false">IFERROR(INDEX('Content Calendar'!$G$6:$G$29,MATCH($A25,'Content Calendar'!$A$6:$A$29,0)),"")</f>
        <v>Domain, hosting and website — three different things</v>
      </c>
      <c r="C25" s="12" t="n">
        <f aca="false">IFERROR(INDEX('Content Calendar'!$C$6:$C$29,MATCH($A25,'Content Calendar'!$A$6:$A$29,0)),"")</f>
        <v>46329</v>
      </c>
      <c r="D25" s="11" t="str">
        <f aca="false">IFERROR(INDEX('Content Calendar'!$K$6:$K$29,MATCH($A25,'Content Calendar'!$A$6:$A$29,0)),"")</f>
        <v>IG + FB</v>
      </c>
      <c r="E25" s="13"/>
      <c r="F25" s="13"/>
      <c r="G25" s="13"/>
      <c r="H25" s="13"/>
      <c r="I25" s="13"/>
      <c r="J25" s="13"/>
      <c r="K25" s="10" t="n">
        <f aca="false">SUM(F25:J25)</f>
        <v>0</v>
      </c>
      <c r="L25" s="14" t="str">
        <f aca="false">IFERROR(K25/E25,"")</f>
        <v/>
      </c>
      <c r="M25" s="6"/>
    </row>
    <row r="26" customFormat="false" ht="15" hidden="false" customHeight="false" outlineLevel="0" collapsed="false">
      <c r="A26" s="10" t="s">
        <v>213</v>
      </c>
      <c r="B26" s="11" t="str">
        <f aca="false">IFERROR(INDEX('Content Calendar'!$G$6:$G$29,MATCH($A26,'Content Calendar'!$A$6:$A$29,0)),"")</f>
        <v>What building software for local businesses has taught me</v>
      </c>
      <c r="C26" s="12" t="n">
        <f aca="false">IFERROR(INDEX('Content Calendar'!$C$6:$C$29,MATCH($A26,'Content Calendar'!$A$6:$A$29,0)),"")</f>
        <v>46332</v>
      </c>
      <c r="D26" s="11" t="str">
        <f aca="false">IFERROR(INDEX('Content Calendar'!$K$6:$K$29,MATCH($A26,'Content Calendar'!$A$6:$A$29,0)),"")</f>
        <v>IG + FB</v>
      </c>
      <c r="E26" s="13"/>
      <c r="F26" s="13"/>
      <c r="G26" s="13"/>
      <c r="H26" s="13"/>
      <c r="I26" s="13"/>
      <c r="J26" s="13"/>
      <c r="K26" s="10" t="n">
        <f aca="false">SUM(F26:J26)</f>
        <v>0</v>
      </c>
      <c r="L26" s="14" t="str">
        <f aca="false">IFERROR(K26/E26,"")</f>
        <v/>
      </c>
      <c r="M26" s="6"/>
    </row>
    <row r="27" customFormat="false" ht="15" hidden="false" customHeight="false" outlineLevel="0" collapsed="false">
      <c r="A27" s="10" t="s">
        <v>220</v>
      </c>
      <c r="B27" s="11" t="str">
        <f aca="false">IFERROR(INDEX('Content Calendar'!$G$6:$G$29,MATCH($A27,'Content Calendar'!$A$6:$A$29,0)),"")</f>
        <v>5 signs your business has outgrown its current system</v>
      </c>
      <c r="C27" s="12" t="n">
        <f aca="false">IFERROR(INDEX('Content Calendar'!$C$6:$C$29,MATCH($A27,'Content Calendar'!$A$6:$A$29,0)),"")</f>
        <v>46336</v>
      </c>
      <c r="D27" s="11" t="str">
        <f aca="false">IFERROR(INDEX('Content Calendar'!$K$6:$K$29,MATCH($A27,'Content Calendar'!$A$6:$A$29,0)),"")</f>
        <v>IG + FB</v>
      </c>
      <c r="E27" s="13"/>
      <c r="F27" s="13"/>
      <c r="G27" s="13"/>
      <c r="H27" s="13"/>
      <c r="I27" s="13"/>
      <c r="J27" s="13"/>
      <c r="K27" s="10" t="n">
        <f aca="false">SUM(F27:J27)</f>
        <v>0</v>
      </c>
      <c r="L27" s="14" t="str">
        <f aca="false">IFERROR(K27/E27,"")</f>
        <v/>
      </c>
      <c r="M27" s="6"/>
    </row>
    <row r="28" customFormat="false" ht="15" hidden="false" customHeight="false" outlineLevel="0" collapsed="false">
      <c r="A28" s="10" t="s">
        <v>226</v>
      </c>
      <c r="B28" s="11" t="str">
        <f aca="false">IFERROR(INDEX('Content Calendar'!$G$6:$G$29,MATCH($A28,'Content Calendar'!$A$6:$A$29,0)),"")</f>
        <v>What 'digital transformation' actually means for a small business here</v>
      </c>
      <c r="C28" s="12" t="n">
        <f aca="false">IFERROR(INDEX('Content Calendar'!$C$6:$C$29,MATCH($A28,'Content Calendar'!$A$6:$A$29,0)),"")</f>
        <v>46339</v>
      </c>
      <c r="D28" s="11" t="str">
        <f aca="false">IFERROR(INDEX('Content Calendar'!$K$6:$K$29,MATCH($A28,'Content Calendar'!$A$6:$A$29,0)),"")</f>
        <v>IG + FB</v>
      </c>
      <c r="E28" s="13"/>
      <c r="F28" s="13"/>
      <c r="G28" s="13"/>
      <c r="H28" s="13"/>
      <c r="I28" s="13"/>
      <c r="J28" s="13"/>
      <c r="K28" s="10" t="n">
        <f aca="false">SUM(F28:J28)</f>
        <v>0</v>
      </c>
      <c r="L28" s="14" t="str">
        <f aca="false">IFERROR(K28/E28,"")</f>
        <v/>
      </c>
      <c r="M28" s="6"/>
    </row>
    <row r="30" customFormat="false" ht="15" hidden="false" customHeight="false" outlineLevel="0" collapsed="false">
      <c r="A30" s="15" t="s">
        <v>282</v>
      </c>
      <c r="E30" s="15" t="n">
        <f aca="false">SUM(E5:E28)</f>
        <v>0</v>
      </c>
      <c r="F30" s="15" t="n">
        <f aca="false">SUM(F5:F28)</f>
        <v>0</v>
      </c>
      <c r="G30" s="15" t="n">
        <f aca="false">SUM(G5:G28)</f>
        <v>0</v>
      </c>
      <c r="H30" s="15" t="n">
        <f aca="false">SUM(H5:H28)</f>
        <v>0</v>
      </c>
      <c r="I30" s="15" t="n">
        <f aca="false">SUM(I5:I28)</f>
        <v>0</v>
      </c>
      <c r="J30" s="15" t="n">
        <f aca="false">SUM(J5:J28)</f>
        <v>0</v>
      </c>
      <c r="K30" s="15" t="n">
        <f aca="false">SUM(K5:K28)</f>
        <v>0</v>
      </c>
      <c r="L30" s="16" t="str">
        <f aca="false">IFERROR(K30/E30,"")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5"/>
  </cols>
  <sheetData>
    <row r="1" customFormat="false" ht="17.35" hidden="false" customHeight="false" outlineLevel="0" collapsed="false">
      <c r="A1" s="1" t="s">
        <v>283</v>
      </c>
    </row>
    <row r="2" customFormat="false" ht="15" hidden="false" customHeight="false" outlineLevel="0" collapsed="false">
      <c r="A2" s="2" t="s">
        <v>284</v>
      </c>
    </row>
    <row r="4" customFormat="false" ht="15" hidden="false" customHeight="false" outlineLevel="0" collapsed="false">
      <c r="A4" s="9" t="s">
        <v>285</v>
      </c>
      <c r="B4" s="9" t="s">
        <v>286</v>
      </c>
    </row>
    <row r="5" customFormat="false" ht="15" hidden="false" customHeight="false" outlineLevel="0" collapsed="false">
      <c r="A5" s="17" t="s">
        <v>287</v>
      </c>
      <c r="B5" s="4" t="s">
        <v>288</v>
      </c>
    </row>
    <row r="6" customFormat="false" ht="15" hidden="false" customHeight="false" outlineLevel="0" collapsed="false">
      <c r="A6" s="17" t="s">
        <v>289</v>
      </c>
      <c r="B6" s="4" t="s">
        <v>290</v>
      </c>
    </row>
    <row r="7" customFormat="false" ht="15" hidden="false" customHeight="false" outlineLevel="0" collapsed="false">
      <c r="A7" s="17" t="s">
        <v>291</v>
      </c>
      <c r="B7" s="4" t="s">
        <v>292</v>
      </c>
    </row>
    <row r="8" customFormat="false" ht="15" hidden="false" customHeight="false" outlineLevel="0" collapsed="false">
      <c r="A8" s="17" t="s">
        <v>293</v>
      </c>
      <c r="B8" s="4" t="s">
        <v>294</v>
      </c>
    </row>
    <row r="9" customFormat="false" ht="23.85" hidden="false" customHeight="false" outlineLevel="0" collapsed="false">
      <c r="A9" s="17" t="s">
        <v>295</v>
      </c>
      <c r="B9" s="4" t="s">
        <v>296</v>
      </c>
    </row>
    <row r="10" customFormat="false" ht="15" hidden="false" customHeight="false" outlineLevel="0" collapsed="false">
      <c r="A10" s="17" t="s">
        <v>297</v>
      </c>
      <c r="B10" s="4" t="s">
        <v>298</v>
      </c>
    </row>
    <row r="11" customFormat="false" ht="15" hidden="false" customHeight="false" outlineLevel="0" collapsed="false">
      <c r="A11" s="17" t="s">
        <v>299</v>
      </c>
      <c r="B11" s="4" t="s">
        <v>300</v>
      </c>
    </row>
    <row r="12" customFormat="false" ht="15" hidden="false" customHeight="false" outlineLevel="0" collapsed="false">
      <c r="A12" s="17" t="s">
        <v>301</v>
      </c>
      <c r="B12" s="4" t="s">
        <v>302</v>
      </c>
    </row>
    <row r="13" customFormat="false" ht="15" hidden="false" customHeight="false" outlineLevel="0" collapsed="false">
      <c r="A13" s="17" t="s">
        <v>303</v>
      </c>
      <c r="B13" s="4" t="s">
        <v>304</v>
      </c>
    </row>
    <row r="14" customFormat="false" ht="15" hidden="false" customHeight="false" outlineLevel="0" collapsed="false">
      <c r="A14" s="17" t="s">
        <v>305</v>
      </c>
      <c r="B14" s="4" t="s">
        <v>306</v>
      </c>
    </row>
    <row r="15" customFormat="false" ht="15" hidden="false" customHeight="false" outlineLevel="0" collapsed="false">
      <c r="A15" s="17" t="s">
        <v>307</v>
      </c>
      <c r="B15" s="4" t="s">
        <v>308</v>
      </c>
    </row>
    <row r="16" customFormat="false" ht="15" hidden="false" customHeight="false" outlineLevel="0" collapsed="false">
      <c r="A16" s="17" t="s">
        <v>309</v>
      </c>
      <c r="B16" s="4" t="s">
        <v>310</v>
      </c>
    </row>
    <row r="17" customFormat="false" ht="15" hidden="false" customHeight="false" outlineLevel="0" collapsed="false">
      <c r="A17" s="17" t="s">
        <v>311</v>
      </c>
      <c r="B17" s="4" t="s">
        <v>312</v>
      </c>
    </row>
    <row r="18" customFormat="false" ht="15" hidden="false" customHeight="false" outlineLevel="0" collapsed="false">
      <c r="A18" s="17" t="s">
        <v>313</v>
      </c>
      <c r="B18" s="4" t="s">
        <v>314</v>
      </c>
    </row>
    <row r="19" customFormat="false" ht="15" hidden="false" customHeight="false" outlineLevel="0" collapsed="false">
      <c r="A19" s="17" t="s">
        <v>315</v>
      </c>
      <c r="B19" s="4" t="s">
        <v>316</v>
      </c>
    </row>
    <row r="20" customFormat="false" ht="15" hidden="false" customHeight="false" outlineLevel="0" collapsed="false">
      <c r="A20" s="17" t="s">
        <v>317</v>
      </c>
      <c r="B20" s="4" t="s">
        <v>318</v>
      </c>
    </row>
    <row r="21" customFormat="false" ht="15" hidden="false" customHeight="false" outlineLevel="0" collapsed="false">
      <c r="A21" s="17" t="s">
        <v>319</v>
      </c>
      <c r="B21" s="4" t="s">
        <v>320</v>
      </c>
    </row>
    <row r="22" customFormat="false" ht="15" hidden="false" customHeight="false" outlineLevel="0" collapsed="false">
      <c r="A22" s="17" t="s">
        <v>321</v>
      </c>
      <c r="B22" s="4"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323</v>
      </c>
    </row>
    <row r="3" customFormat="false" ht="15" hidden="false" customHeight="false" outlineLevel="0" collapsed="false">
      <c r="A3" s="18" t="s">
        <v>324</v>
      </c>
    </row>
    <row r="4" customFormat="false" ht="15" hidden="false" customHeight="false" outlineLevel="0" collapsed="false">
      <c r="A4" s="9" t="s">
        <v>7</v>
      </c>
      <c r="B4" s="9" t="s">
        <v>325</v>
      </c>
      <c r="C4" s="9" t="s">
        <v>326</v>
      </c>
    </row>
    <row r="5" customFormat="false" ht="15" hidden="false" customHeight="false" outlineLevel="0" collapsed="false">
      <c r="A5" s="19" t="s">
        <v>98</v>
      </c>
      <c r="B5" s="19" t="n">
        <f aca="false">COUNTIF('Content Calendar'!$E$6:$E$29,$A5)</f>
        <v>3</v>
      </c>
      <c r="C5" s="20" t="n">
        <f aca="false">IFERROR(B5/$B$13,"")</f>
        <v>0.125</v>
      </c>
    </row>
    <row r="6" customFormat="false" ht="15" hidden="false" customHeight="false" outlineLevel="0" collapsed="false">
      <c r="A6" s="19" t="s">
        <v>53</v>
      </c>
      <c r="B6" s="19" t="n">
        <f aca="false">COUNTIF('Content Calendar'!$E$6:$E$29,$A6)</f>
        <v>6</v>
      </c>
      <c r="C6" s="20" t="n">
        <f aca="false">IFERROR(B6/$B$13,"")</f>
        <v>0.25</v>
      </c>
    </row>
    <row r="7" customFormat="false" ht="15" hidden="false" customHeight="false" outlineLevel="0" collapsed="false">
      <c r="A7" s="19" t="s">
        <v>123</v>
      </c>
      <c r="B7" s="19" t="n">
        <f aca="false">COUNTIF('Content Calendar'!$E$6:$E$29,$A7)</f>
        <v>3</v>
      </c>
      <c r="C7" s="20" t="n">
        <f aca="false">IFERROR(B7/$B$13,"")</f>
        <v>0.125</v>
      </c>
    </row>
    <row r="8" customFormat="false" ht="15" hidden="false" customHeight="false" outlineLevel="0" collapsed="false">
      <c r="A8" s="19" t="s">
        <v>65</v>
      </c>
      <c r="B8" s="19" t="n">
        <f aca="false">COUNTIF('Content Calendar'!$E$6:$E$29,$A8)</f>
        <v>3</v>
      </c>
      <c r="C8" s="20" t="n">
        <f aca="false">IFERROR(B8/$B$13,"")</f>
        <v>0.125</v>
      </c>
    </row>
    <row r="9" customFormat="false" ht="15" hidden="false" customHeight="false" outlineLevel="0" collapsed="false">
      <c r="A9" s="19" t="s">
        <v>77</v>
      </c>
      <c r="B9" s="19" t="n">
        <f aca="false">COUNTIF('Content Calendar'!$E$6:$E$29,$A9)</f>
        <v>2</v>
      </c>
      <c r="C9" s="20" t="n">
        <f aca="false">IFERROR(B9/$B$13,"")</f>
        <v>0.0833333333333333</v>
      </c>
    </row>
    <row r="10" customFormat="false" ht="15" hidden="false" customHeight="false" outlineLevel="0" collapsed="false">
      <c r="A10" s="19" t="s">
        <v>25</v>
      </c>
      <c r="B10" s="19" t="n">
        <f aca="false">COUNTIF('Content Calendar'!$E$6:$E$29,$A10)</f>
        <v>3</v>
      </c>
      <c r="C10" s="20" t="n">
        <f aca="false">IFERROR(B10/$B$13,"")</f>
        <v>0.125</v>
      </c>
    </row>
    <row r="11" customFormat="false" ht="15" hidden="false" customHeight="false" outlineLevel="0" collapsed="false">
      <c r="A11" s="19" t="s">
        <v>133</v>
      </c>
      <c r="B11" s="19" t="n">
        <f aca="false">COUNTIF('Content Calendar'!$E$6:$E$29,$A11)</f>
        <v>2</v>
      </c>
      <c r="C11" s="20" t="n">
        <f aca="false">IFERROR(B11/$B$13,"")</f>
        <v>0.0833333333333333</v>
      </c>
    </row>
    <row r="12" customFormat="false" ht="15" hidden="false" customHeight="false" outlineLevel="0" collapsed="false">
      <c r="A12" s="19" t="s">
        <v>41</v>
      </c>
      <c r="B12" s="19" t="n">
        <f aca="false">COUNTIF('Content Calendar'!$E$6:$E$29,$A12)</f>
        <v>2</v>
      </c>
      <c r="C12" s="20" t="n">
        <f aca="false">IFERROR(B12/$B$13,"")</f>
        <v>0.0833333333333333</v>
      </c>
    </row>
    <row r="13" customFormat="false" ht="15" hidden="false" customHeight="false" outlineLevel="0" collapsed="false">
      <c r="A13" s="15" t="s">
        <v>327</v>
      </c>
      <c r="B13" s="15" t="n">
        <f aca="false">SUM(B5:B12)</f>
        <v>24</v>
      </c>
      <c r="C13" s="16" t="n">
        <f aca="false">IFERROR(B13/B13,"")</f>
        <v>1</v>
      </c>
    </row>
    <row r="15" customFormat="false" ht="15" hidden="false" customHeight="false" outlineLevel="0" collapsed="false">
      <c r="A15" s="18" t="s">
        <v>328</v>
      </c>
    </row>
    <row r="16" customFormat="false" ht="15" hidden="false" customHeight="false" outlineLevel="0" collapsed="false">
      <c r="A16" s="9" t="s">
        <v>329</v>
      </c>
      <c r="B16" s="9" t="s">
        <v>330</v>
      </c>
      <c r="C16" s="9" t="s">
        <v>331</v>
      </c>
    </row>
    <row r="17" customFormat="false" ht="23.85" hidden="false" customHeight="false" outlineLevel="0" collapsed="false">
      <c r="A17" s="4" t="s">
        <v>105</v>
      </c>
      <c r="B17" s="4" t="s">
        <v>98</v>
      </c>
      <c r="C17" s="4" t="s">
        <v>332</v>
      </c>
    </row>
    <row r="18" customFormat="false" ht="15" hidden="false" customHeight="false" outlineLevel="0" collapsed="false">
      <c r="A18" s="4" t="s">
        <v>61</v>
      </c>
      <c r="B18" s="4" t="s">
        <v>53</v>
      </c>
      <c r="C18" s="4" t="s">
        <v>333</v>
      </c>
    </row>
    <row r="19" customFormat="false" ht="15" hidden="false" customHeight="false" outlineLevel="0" collapsed="false">
      <c r="A19" s="4" t="s">
        <v>129</v>
      </c>
      <c r="B19" s="4" t="s">
        <v>123</v>
      </c>
      <c r="C19" s="4" t="s">
        <v>334</v>
      </c>
    </row>
    <row r="20" customFormat="false" ht="15" hidden="false" customHeight="false" outlineLevel="0" collapsed="false">
      <c r="A20" s="4" t="s">
        <v>73</v>
      </c>
      <c r="B20" s="4" t="s">
        <v>65</v>
      </c>
      <c r="C20" s="4" t="s">
        <v>335</v>
      </c>
    </row>
    <row r="21" customFormat="false" ht="15" hidden="false" customHeight="false" outlineLevel="0" collapsed="false">
      <c r="A21" s="4" t="s">
        <v>85</v>
      </c>
      <c r="B21" s="4" t="s">
        <v>77</v>
      </c>
      <c r="C21" s="4" t="s">
        <v>336</v>
      </c>
    </row>
    <row r="22" customFormat="false" ht="15" hidden="false" customHeight="false" outlineLevel="0" collapsed="false">
      <c r="A22" s="4" t="s">
        <v>49</v>
      </c>
      <c r="B22" s="4" t="s">
        <v>41</v>
      </c>
      <c r="C22" s="4" t="s">
        <v>337</v>
      </c>
    </row>
    <row r="23" customFormat="false" ht="15" hidden="false" customHeight="false" outlineLevel="0" collapsed="false">
      <c r="A23" s="4" t="s">
        <v>35</v>
      </c>
      <c r="B23" s="4" t="s">
        <v>25</v>
      </c>
      <c r="C23" s="4" t="s">
        <v>338</v>
      </c>
    </row>
    <row r="24" customFormat="false" ht="15" hidden="false" customHeight="false" outlineLevel="0" collapsed="false">
      <c r="A24" s="4" t="s">
        <v>140</v>
      </c>
      <c r="B24" s="4" t="s">
        <v>133</v>
      </c>
      <c r="C24" s="4" t="s">
        <v>339</v>
      </c>
    </row>
    <row r="26" customFormat="false" ht="15" hidden="false" customHeight="false" outlineLevel="0" collapsed="false">
      <c r="A26" s="18" t="s">
        <v>340</v>
      </c>
    </row>
    <row r="27" customFormat="false" ht="15" hidden="false" customHeight="false" outlineLevel="0" collapsed="false">
      <c r="A27" s="9" t="s">
        <v>341</v>
      </c>
      <c r="B27" s="9" t="s">
        <v>342</v>
      </c>
    </row>
    <row r="28" customFormat="false" ht="15" hidden="false" customHeight="false" outlineLevel="0" collapsed="false">
      <c r="A28" s="19" t="s">
        <v>343</v>
      </c>
      <c r="B28" s="19" t="s">
        <v>344</v>
      </c>
    </row>
    <row r="29" customFormat="false" ht="15" hidden="false" customHeight="false" outlineLevel="0" collapsed="false">
      <c r="A29" s="19" t="s">
        <v>345</v>
      </c>
      <c r="B29" s="19" t="s">
        <v>346</v>
      </c>
    </row>
    <row r="30" customFormat="false" ht="15" hidden="false" customHeight="false" outlineLevel="0" collapsed="false">
      <c r="A30" s="19" t="s">
        <v>347</v>
      </c>
      <c r="B30" s="19" t="s">
        <v>348</v>
      </c>
    </row>
    <row r="31" customFormat="false" ht="15" hidden="false" customHeight="false" outlineLevel="0" collapsed="false">
      <c r="A31" s="19" t="s">
        <v>349</v>
      </c>
      <c r="B31" s="19" t="s">
        <v>350</v>
      </c>
    </row>
    <row r="32" customFormat="false" ht="15" hidden="false" customHeight="false" outlineLevel="0" collapsed="false">
      <c r="A32" s="19" t="s">
        <v>351</v>
      </c>
      <c r="B32" s="19" t="s">
        <v>352</v>
      </c>
    </row>
    <row r="33" customFormat="false" ht="15" hidden="false" customHeight="false" outlineLevel="0" collapsed="false">
      <c r="A33" s="19" t="s">
        <v>134</v>
      </c>
      <c r="B33" s="19" t="s">
        <v>353</v>
      </c>
    </row>
    <row r="34" customFormat="false" ht="15" hidden="false" customHeight="false" outlineLevel="0" collapsed="false">
      <c r="A34" s="19" t="s">
        <v>354</v>
      </c>
      <c r="B34" s="19" t="s">
        <v>355</v>
      </c>
    </row>
    <row r="35" customFormat="false" ht="15" hidden="false" customHeight="false" outlineLevel="0" collapsed="false">
      <c r="A35" s="19" t="s">
        <v>356</v>
      </c>
      <c r="B35" s="19" t="s">
        <v>357</v>
      </c>
    </row>
    <row r="37" customFormat="false" ht="15" hidden="false" customHeight="false" outlineLevel="0" collapsed="false">
      <c r="A37" s="18" t="s">
        <v>358</v>
      </c>
    </row>
    <row r="38" customFormat="false" ht="15" hidden="false" customHeight="false" outlineLevel="0" collapsed="false">
      <c r="A38" s="21" t="s">
        <v>359</v>
      </c>
    </row>
    <row r="40" customFormat="false" ht="15" hidden="false" customHeight="true" outlineLevel="0" collapsed="false">
      <c r="A40" s="22" t="s">
        <v>360</v>
      </c>
      <c r="B40" s="22"/>
      <c r="C40" s="22"/>
    </row>
    <row r="41" customFormat="false" ht="15" hidden="false" customHeight="false" outlineLevel="0" collapsed="false">
      <c r="A41" s="22"/>
      <c r="B41" s="22"/>
      <c r="C41" s="22"/>
    </row>
  </sheetData>
  <mergeCells count="1">
    <mergeCell ref="A40: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2026-08-17T22:20:00Z</dcterms:created>
  <dc:creator>openpyxl</dc:creator>
  <dc:description/>
  <dc:language>en-US</dc:language>
  <cp:lastModifiedBy/>
  <dcterms:modified xsi:type="dcterms:W3CDTF">2026-08-17T22:20:00Z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